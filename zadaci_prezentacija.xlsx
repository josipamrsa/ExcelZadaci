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MF\Documents\Github\ExcelZadaci\"/>
    </mc:Choice>
  </mc:AlternateContent>
  <xr:revisionPtr revIDLastSave="0" documentId="13_ncr:1_{72F38E6D-3438-4410-BBEF-D0B6D469E3BD}" xr6:coauthVersionLast="45" xr6:coauthVersionMax="45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Analiza-tjedna potrošnja" sheetId="6" r:id="rId1"/>
    <sheet name="Analiza-Instagram" sheetId="4" r:id="rId2"/>
    <sheet name="Rješenje-tjedna potrošnja" sheetId="7" r:id="rId3"/>
    <sheet name="Rješenje-Instagram" sheetId="5" r:id="rId4"/>
    <sheet name="Učitavanje podataka" sheetId="11" r:id="rId5"/>
    <sheet name="Učitavanje podataka-rjesenje" sheetId="10" r:id="rId6"/>
  </sheets>
  <definedNames>
    <definedName name="_xlnm._FilterDatabase" localSheetId="3" hidden="1">'Rješenje-Instagram'!$A$1:$D$1</definedName>
    <definedName name="_xlchart.v1.0" hidden="1">'Rješenje-Instagram'!$A$2:$A$281</definedName>
    <definedName name="_xlchart.v1.1" hidden="1">'Rješenje-Instagram'!$C$1</definedName>
    <definedName name="_xlchart.v1.2" hidden="1">'Rješenje-Instagram'!$C$2:$C$281</definedName>
    <definedName name="_xlchart.v1.3" hidden="1">'Rješenje-Instagram'!$C$1</definedName>
    <definedName name="_xlchart.v1.4" hidden="1">'Rješenje-Instagram'!$C$2:$C$281</definedName>
    <definedName name="Vanjskipodaci_1" localSheetId="1" hidden="1">'Analiza-Instagram'!#REF!</definedName>
    <definedName name="Vanjskipodaci_2" localSheetId="5" hidden="1">'Učitavanje podataka-rjesenje'!$B$1:$G$41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5" l="1"/>
  <c r="J2" i="5"/>
  <c r="E3" i="7"/>
  <c r="E4" i="7"/>
  <c r="E5" i="7"/>
  <c r="E21" i="7" s="1"/>
  <c r="E6" i="7"/>
  <c r="E7" i="7"/>
  <c r="E8" i="7"/>
  <c r="E9" i="7"/>
  <c r="E10" i="7"/>
  <c r="E11" i="7"/>
  <c r="E22" i="7" s="1"/>
  <c r="E12" i="7"/>
  <c r="E2" i="7"/>
  <c r="E19" i="7" s="1"/>
  <c r="L2" i="5"/>
  <c r="N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G3" i="5"/>
  <c r="G4" i="5"/>
  <c r="G5" i="5"/>
  <c r="G2" i="5"/>
  <c r="M2" i="5" l="1"/>
  <c r="K2" i="5"/>
  <c r="E20" i="7"/>
  <c r="B21" i="7"/>
  <c r="B19" i="7"/>
  <c r="B20" i="7"/>
  <c r="B18" i="7"/>
  <c r="B16" i="7" s="1"/>
  <c r="F6" i="7" l="1"/>
  <c r="F2" i="7"/>
  <c r="F9" i="7"/>
  <c r="F7" i="7"/>
  <c r="F8" i="7"/>
  <c r="F3" i="7"/>
  <c r="F10" i="7"/>
  <c r="F11" i="7"/>
  <c r="F4" i="7"/>
  <c r="F12" i="7"/>
  <c r="F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19AC63-FBBB-4906-AFFA-8B3EA9C84169}" keepAlive="1" name="Upit – media" description="Veza s upitom 'media' u radnoj knjizi." type="5" refreshedVersion="6" background="1">
    <dbPr connection="Provider=Microsoft.Mashup.OleDb.1;Data Source=$Workbook$;Location=media;Extended Properties=&quot;&quot;" command="SELECT * FROM [media]"/>
  </connection>
  <connection id="2" xr16:uid="{5DE59F9E-A196-4747-B59B-91E17E5EFA5F}" keepAlive="1" name="Upit – Table 0" description="Veza s upitom 'Table 0' u radnoj knjizi." type="5" refreshedVersion="6" background="1" saveData="1">
    <dbPr connection="Provider=Microsoft.Mashup.OleDb.1;Data Source=$Workbook$;Location=&quot;Table 0&quot;;Extended Properties=&quot;&quot;" command="SELECT * FROM [Table 0]"/>
  </connection>
  <connection id="3" xr16:uid="{895273B1-FC86-4B3F-A765-69A28D6B1EFA}" keepAlive="1" name="Upit – Table 1" description="Veza s upitom 'Table 1' u radnoj knjizi." type="5" refreshedVersion="6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<sst xmlns="http://schemas.openxmlformats.org/spreadsheetml/2006/main" count="908" uniqueCount="208">
  <si>
    <t>stories</t>
  </si>
  <si>
    <t>photos</t>
  </si>
  <si>
    <t>profile</t>
  </si>
  <si>
    <t>videos</t>
  </si>
  <si>
    <t>Tip</t>
  </si>
  <si>
    <t>Datum</t>
  </si>
  <si>
    <t>Vrijeme</t>
  </si>
  <si>
    <t>Količina</t>
  </si>
  <si>
    <t>Godina</t>
  </si>
  <si>
    <t>Kategorija</t>
  </si>
  <si>
    <t>Opis</t>
  </si>
  <si>
    <t>Iznos</t>
  </si>
  <si>
    <t>Doručak</t>
  </si>
  <si>
    <t>Ručak - menza</t>
  </si>
  <si>
    <t>Kava - aparat</t>
  </si>
  <si>
    <t>Piće - kafić</t>
  </si>
  <si>
    <t>Užina</t>
  </si>
  <si>
    <t>Boca vode</t>
  </si>
  <si>
    <t>Piće</t>
  </si>
  <si>
    <t>Hrana</t>
  </si>
  <si>
    <t>Komunikacija</t>
  </si>
  <si>
    <t>Karta za kino</t>
  </si>
  <si>
    <t>Zabava</t>
  </si>
  <si>
    <t>200 minuta telefonskog razgovora</t>
  </si>
  <si>
    <t>120 megabajta mobilnog interneta</t>
  </si>
  <si>
    <t>Odlazak na događaj</t>
  </si>
  <si>
    <t>Fast food</t>
  </si>
  <si>
    <t>Ukupan iznos</t>
  </si>
  <si>
    <t>Ukupni tjedni troškovi</t>
  </si>
  <si>
    <t>Prosječni troškovi</t>
  </si>
  <si>
    <t>Najveći iznos</t>
  </si>
  <si>
    <t>Najmanji iznos</t>
  </si>
  <si>
    <t>Troškovi po kategorijama</t>
  </si>
  <si>
    <t>Ukupan tjedni džeparac</t>
  </si>
  <si>
    <t>Ušteda</t>
  </si>
  <si>
    <t>Može si priuštiti više?</t>
  </si>
  <si>
    <t>Naziv</t>
  </si>
  <si>
    <t>Vremenska prognoza</t>
  </si>
  <si>
    <t>Prognoza za nadmorsku visinu</t>
  </si>
  <si>
    <t>Prognoza za nadmorsku visinu2</t>
  </si>
  <si>
    <t>Prognoza za nadmorsku visinu3</t>
  </si>
  <si>
    <t>Hoteli</t>
  </si>
  <si>
    <t>Dinara</t>
  </si>
  <si>
    <t>Danas | Sutra | 7 dana</t>
  </si>
  <si>
    <t>1830m</t>
  </si>
  <si>
    <t>1084m</t>
  </si>
  <si>
    <t>819m</t>
  </si>
  <si>
    <t>1 Hoteli</t>
  </si>
  <si>
    <t>Jankovo Brdo</t>
  </si>
  <si>
    <t>1780m</t>
  </si>
  <si>
    <t>1391m</t>
  </si>
  <si>
    <t>813m</t>
  </si>
  <si>
    <t>3 Hoteli</t>
  </si>
  <si>
    <t>Biokovo</t>
  </si>
  <si>
    <t>1762m</t>
  </si>
  <si>
    <t>1145m</t>
  </si>
  <si>
    <t>695m</t>
  </si>
  <si>
    <t>390 Hoteli</t>
  </si>
  <si>
    <t>Vaganski Vrh</t>
  </si>
  <si>
    <t>1757m</t>
  </si>
  <si>
    <t>1375m</t>
  </si>
  <si>
    <t>725m</t>
  </si>
  <si>
    <t>403 Hoteli</t>
  </si>
  <si>
    <t>Sveto Brdo</t>
  </si>
  <si>
    <t>1751m</t>
  </si>
  <si>
    <t>711m</t>
  </si>
  <si>
    <t>369 Hoteli</t>
  </si>
  <si>
    <t>Mali Rajinac</t>
  </si>
  <si>
    <t>1699m</t>
  </si>
  <si>
    <t>1330m</t>
  </si>
  <si>
    <t>775m</t>
  </si>
  <si>
    <t>198 Hoteli</t>
  </si>
  <si>
    <t>Velika Duvjakuša</t>
  </si>
  <si>
    <t>1698m</t>
  </si>
  <si>
    <t>1273m</t>
  </si>
  <si>
    <t>718m</t>
  </si>
  <si>
    <t>5 Hoteli</t>
  </si>
  <si>
    <t>Goli Vrh</t>
  </si>
  <si>
    <t>1670m</t>
  </si>
  <si>
    <t>1313m</t>
  </si>
  <si>
    <t>620m</t>
  </si>
  <si>
    <t>185 Hoteli</t>
  </si>
  <si>
    <t>Veliki Rajinac</t>
  </si>
  <si>
    <t>1667m</t>
  </si>
  <si>
    <t>1295m</t>
  </si>
  <si>
    <t>762m</t>
  </si>
  <si>
    <t>191 Hoteli</t>
  </si>
  <si>
    <t>Jančarska Glava</t>
  </si>
  <si>
    <t>1128m</t>
  </si>
  <si>
    <t>Ozeblin</t>
  </si>
  <si>
    <t>1657m</t>
  </si>
  <si>
    <t>1142m</t>
  </si>
  <si>
    <t>709m</t>
  </si>
  <si>
    <t>62 Hoteli</t>
  </si>
  <si>
    <t>Plješivica</t>
  </si>
  <si>
    <t>1653m</t>
  </si>
  <si>
    <t>923m</t>
  </si>
  <si>
    <t>668m</t>
  </si>
  <si>
    <t>Višerujna</t>
  </si>
  <si>
    <t>1632m</t>
  </si>
  <si>
    <t>911m</t>
  </si>
  <si>
    <t>409 Hoteli</t>
  </si>
  <si>
    <t>Veliki Kozjak</t>
  </si>
  <si>
    <t>1629m</t>
  </si>
  <si>
    <t>1277m</t>
  </si>
  <si>
    <t>736m</t>
  </si>
  <si>
    <t>186 Hoteli</t>
  </si>
  <si>
    <t>Šatorina</t>
  </si>
  <si>
    <t>1624m</t>
  </si>
  <si>
    <t>1181m</t>
  </si>
  <si>
    <t>707m</t>
  </si>
  <si>
    <t>157 Hoteli</t>
  </si>
  <si>
    <t>Visocica</t>
  </si>
  <si>
    <t>1619m</t>
  </si>
  <si>
    <t>1208m</t>
  </si>
  <si>
    <t>591m</t>
  </si>
  <si>
    <t>366 Hoteli</t>
  </si>
  <si>
    <t>Tabla</t>
  </si>
  <si>
    <t>1616m</t>
  </si>
  <si>
    <t>1197m</t>
  </si>
  <si>
    <t>178 Hoteli</t>
  </si>
  <si>
    <t>Rudi Lisac</t>
  </si>
  <si>
    <t>1608m</t>
  </si>
  <si>
    <t>1187m</t>
  </si>
  <si>
    <t>640m</t>
  </si>
  <si>
    <t>58 Hoteli</t>
  </si>
  <si>
    <t>Goljak</t>
  </si>
  <si>
    <t>1605m</t>
  </si>
  <si>
    <t>1118m</t>
  </si>
  <si>
    <t>529m</t>
  </si>
  <si>
    <t>Ograđenik</t>
  </si>
  <si>
    <t>1604m</t>
  </si>
  <si>
    <t>1069m</t>
  </si>
  <si>
    <t>155 Hoteli</t>
  </si>
  <si>
    <t>Obrazovac</t>
  </si>
  <si>
    <t>1583m</t>
  </si>
  <si>
    <t>1136m</t>
  </si>
  <si>
    <t>181 Hoteli</t>
  </si>
  <si>
    <t>Torlakova Glavica</t>
  </si>
  <si>
    <t>1576m</t>
  </si>
  <si>
    <t>Medin Golić</t>
  </si>
  <si>
    <t>1566m</t>
  </si>
  <si>
    <t>1234m</t>
  </si>
  <si>
    <t>188 Hoteli</t>
  </si>
  <si>
    <t>Rasova</t>
  </si>
  <si>
    <t>1561m</t>
  </si>
  <si>
    <t>1170m</t>
  </si>
  <si>
    <t>703m</t>
  </si>
  <si>
    <t>173 Hoteli</t>
  </si>
  <si>
    <t>Mikurilja</t>
  </si>
  <si>
    <t>1559m</t>
  </si>
  <si>
    <t>690m</t>
  </si>
  <si>
    <t>Bukvin Vrh</t>
  </si>
  <si>
    <t>1558m</t>
  </si>
  <si>
    <t>582m</t>
  </si>
  <si>
    <t>Pljišivica</t>
  </si>
  <si>
    <t>1550m</t>
  </si>
  <si>
    <t>1166m</t>
  </si>
  <si>
    <t>700m</t>
  </si>
  <si>
    <t>182 Hoteli</t>
  </si>
  <si>
    <t>Kimet</t>
  </si>
  <si>
    <t>1535m</t>
  </si>
  <si>
    <t>1137m</t>
  </si>
  <si>
    <t>600m</t>
  </si>
  <si>
    <t>458 Hoteli</t>
  </si>
  <si>
    <t>Bjelolasica</t>
  </si>
  <si>
    <t>1534m</t>
  </si>
  <si>
    <t>1204m</t>
  </si>
  <si>
    <t>661m</t>
  </si>
  <si>
    <t>218 Hoteli</t>
  </si>
  <si>
    <t>Lisac</t>
  </si>
  <si>
    <t>1533m</t>
  </si>
  <si>
    <t>1043m</t>
  </si>
  <si>
    <t>477m</t>
  </si>
  <si>
    <t>192 Hoteli</t>
  </si>
  <si>
    <t>Vučjak</t>
  </si>
  <si>
    <t>1531m</t>
  </si>
  <si>
    <t>1151m</t>
  </si>
  <si>
    <t>485m</t>
  </si>
  <si>
    <t>199 Hoteli</t>
  </si>
  <si>
    <t>Velika Glavica</t>
  </si>
  <si>
    <t>1529m</t>
  </si>
  <si>
    <t>1072m</t>
  </si>
  <si>
    <t>Veliki Risnjak</t>
  </si>
  <si>
    <t>1528m</t>
  </si>
  <si>
    <t>1177m</t>
  </si>
  <si>
    <t>683m</t>
  </si>
  <si>
    <t>263 Hoteli</t>
  </si>
  <si>
    <t>Kraljevac</t>
  </si>
  <si>
    <t>1523m</t>
  </si>
  <si>
    <t>187 Hoteli</t>
  </si>
  <si>
    <t>Kurozeb</t>
  </si>
  <si>
    <t>Slime</t>
  </si>
  <si>
    <t>1522m</t>
  </si>
  <si>
    <t>Plešivica</t>
  </si>
  <si>
    <t>1516m</t>
  </si>
  <si>
    <t>603m</t>
  </si>
  <si>
    <t>Robinac</t>
  </si>
  <si>
    <t>1510m</t>
  </si>
  <si>
    <t>1028m</t>
  </si>
  <si>
    <t>Corin Lacmen</t>
  </si>
  <si>
    <t>1505m</t>
  </si>
  <si>
    <t>Laktin Vrh</t>
  </si>
  <si>
    <t>1504m</t>
  </si>
  <si>
    <t>1109m</t>
  </si>
  <si>
    <t>662m</t>
  </si>
  <si>
    <t>160 Hoteli</t>
  </si>
  <si>
    <t>https://freemeteo.com.hr/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</si>
</sst>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A]d\.\ mmmm\ yyyy\.;@"/>
    <numFmt numFmtId="165" formatCode="h:mm;@"/>
    <numFmt numFmtId="166" formatCode="_-* #,##0.00\ [$kn-41A]_-;\-* #,##0.00\ [$kn-41A]_-;_-* &quot;-&quot;??\ [$kn-41A]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NumberFormat="1"/>
    <xf numFmtId="0" fontId="0" fillId="0" borderId="1" xfId="0" applyBorder="1"/>
    <xf numFmtId="0" fontId="2" fillId="2" borderId="1" xfId="0" applyFont="1" applyFill="1" applyBorder="1" applyAlignment="1">
      <alignment vertical="center"/>
    </xf>
    <xf numFmtId="164" fontId="0" fillId="0" borderId="1" xfId="0" applyNumberFormat="1" applyBorder="1"/>
    <xf numFmtId="165" fontId="0" fillId="0" borderId="1" xfId="0" applyNumberFormat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0" fillId="0" borderId="0" xfId="0" applyBorder="1"/>
    <xf numFmtId="0" fontId="1" fillId="0" borderId="0" xfId="0" applyFont="1" applyFill="1" applyBorder="1"/>
    <xf numFmtId="0" fontId="0" fillId="0" borderId="0" xfId="0" applyFill="1" applyBorder="1" applyAlignment="1">
      <alignment horizontal="right"/>
    </xf>
    <xf numFmtId="0" fontId="0" fillId="0" borderId="0" xfId="0" applyFill="1" applyBorder="1"/>
    <xf numFmtId="0" fontId="1" fillId="4" borderId="1" xfId="0" applyFont="1" applyFill="1" applyBorder="1"/>
    <xf numFmtId="0" fontId="0" fillId="0" borderId="1" xfId="0" applyFill="1" applyBorder="1"/>
    <xf numFmtId="0" fontId="2" fillId="2" borderId="2" xfId="0" applyFont="1" applyFill="1" applyBorder="1" applyAlignment="1">
      <alignment vertical="center"/>
    </xf>
    <xf numFmtId="164" fontId="0" fillId="0" borderId="2" xfId="0" applyNumberFormat="1" applyBorder="1"/>
    <xf numFmtId="0" fontId="2" fillId="2" borderId="0" xfId="0" applyFont="1" applyFill="1" applyBorder="1" applyAlignment="1">
      <alignment vertical="center"/>
    </xf>
    <xf numFmtId="165" fontId="0" fillId="0" borderId="0" xfId="0" applyNumberFormat="1"/>
    <xf numFmtId="0" fontId="0" fillId="0" borderId="1" xfId="0" applyBorder="1" applyAlignment="1">
      <alignment wrapText="1"/>
    </xf>
    <xf numFmtId="2" fontId="0" fillId="0" borderId="1" xfId="0" applyNumberFormat="1" applyBorder="1"/>
    <xf numFmtId="166" fontId="0" fillId="0" borderId="1" xfId="0" applyNumberFormat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2" fontId="0" fillId="0" borderId="0" xfId="0" applyNumberFormat="1" applyFill="1" applyBorder="1"/>
    <xf numFmtId="166" fontId="0" fillId="0" borderId="0" xfId="0" applyNumberFormat="1" applyFill="1" applyBorder="1"/>
    <xf numFmtId="166" fontId="0" fillId="0" borderId="0" xfId="0" applyNumberFormat="1" applyBorder="1"/>
    <xf numFmtId="0" fontId="1" fillId="7" borderId="1" xfId="0" applyFont="1" applyFill="1" applyBorder="1" applyAlignment="1">
      <alignment horizontal="left"/>
    </xf>
    <xf numFmtId="0" fontId="1" fillId="9" borderId="1" xfId="0" applyFont="1" applyFill="1" applyBorder="1"/>
    <xf numFmtId="166" fontId="0" fillId="10" borderId="1" xfId="0" applyNumberFormat="1" applyFill="1" applyBorder="1"/>
    <xf numFmtId="0" fontId="0" fillId="0" borderId="1" xfId="0" applyNumberFormat="1" applyBorder="1"/>
    <xf numFmtId="0" fontId="3" fillId="0" borderId="0" xfId="1" applyAlignment="1">
      <alignment wrapText="1"/>
    </xf>
    <xf numFmtId="0" fontId="3" fillId="0" borderId="0" xfId="1"/>
    <xf numFmtId="0" fontId="0" fillId="0" borderId="1" xfId="0" applyFill="1" applyBorder="1" applyAlignment="1">
      <alignment horizontal="center"/>
    </xf>
    <xf numFmtId="166" fontId="0" fillId="10" borderId="2" xfId="0" applyNumberFormat="1" applyFill="1" applyBorder="1"/>
    <xf numFmtId="0" fontId="1" fillId="9" borderId="3" xfId="0" applyFont="1" applyFill="1" applyBorder="1"/>
    <xf numFmtId="0" fontId="0" fillId="0" borderId="1" xfId="0" applyNumberFormat="1" applyBorder="1" applyAlignment="1">
      <alignment horizontal="righ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right"/>
    </xf>
  </cellXfs>
  <cellStyles count="2">
    <cellStyle name="Hiperveza" xfId="1" builtinId="8"/>
    <cellStyle name="Normalno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Pregled tjednih troškova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555-4FB6-A9A5-F8AA4FED7F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555-4FB6-A9A5-F8AA4FED7F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555-4FB6-A9A5-F8AA4FED7F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555-4FB6-A9A5-F8AA4FED7F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sr-Latn-R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'Rješenje-tjedna potrošnja'!$D$19:$D$22</c:f>
              <c:strCache>
                <c:ptCount val="4"/>
                <c:pt idx="0">
                  <c:v>Piće</c:v>
                </c:pt>
                <c:pt idx="1">
                  <c:v>Hrana</c:v>
                </c:pt>
                <c:pt idx="2">
                  <c:v>Komunikacija</c:v>
                </c:pt>
                <c:pt idx="3">
                  <c:v>Zabava</c:v>
                </c:pt>
              </c:strCache>
            </c:strRef>
          </c:cat>
          <c:val>
            <c:numRef>
              <c:f>'Rješenje-tjedna potrošnja'!$E$19:$E$22</c:f>
              <c:numCache>
                <c:formatCode>_-* #,##0.00\ [$kn-41A]_-;\-* #,##0.00\ [$kn-41A]_-;_-* "-"??\ [$kn-41A]_-;_-@_-</c:formatCode>
                <c:ptCount val="4"/>
                <c:pt idx="0">
                  <c:v>64</c:v>
                </c:pt>
                <c:pt idx="1">
                  <c:v>274</c:v>
                </c:pt>
                <c:pt idx="2">
                  <c:v>20.7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E-46B6-AAA0-3D411783EFC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/>
              <a:t>Najčešće objavljivan sadržaj na</a:t>
            </a:r>
            <a:r>
              <a:rPr lang="hr-HR" baseline="0"/>
              <a:t> Instagramu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'Rješenje-Instagram'!$G$1</c:f>
              <c:strCache>
                <c:ptCount val="1"/>
                <c:pt idx="0">
                  <c:v>Količina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C2-48DF-BEAB-7C884434DD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C2-48DF-BEAB-7C884434DD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C2-48DF-BEAB-7C884434DD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C2-48DF-BEAB-7C884434DD4E}"/>
              </c:ext>
            </c:extLst>
          </c:dPt>
          <c:cat>
            <c:strRef>
              <c:f>'Rješenje-Instagram'!$F$2:$F$5</c:f>
              <c:strCache>
                <c:ptCount val="4"/>
                <c:pt idx="0">
                  <c:v>stories</c:v>
                </c:pt>
                <c:pt idx="1">
                  <c:v>photos</c:v>
                </c:pt>
                <c:pt idx="2">
                  <c:v>profile</c:v>
                </c:pt>
                <c:pt idx="3">
                  <c:v>videos</c:v>
                </c:pt>
              </c:strCache>
            </c:strRef>
          </c:cat>
          <c:val>
            <c:numRef>
              <c:f>'Rješenje-Instagram'!$G$2:$G$5</c:f>
              <c:numCache>
                <c:formatCode>General</c:formatCode>
                <c:ptCount val="4"/>
                <c:pt idx="0">
                  <c:v>8</c:v>
                </c:pt>
                <c:pt idx="1">
                  <c:v>269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3-4B9D-A41B-E1D0651EB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r-H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r-HR" sz="1200"/>
              <a:t>Broj objava sadržaja u razdoblju od 2015. - 2019. godine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r-Latn-R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'Rješenje-Instagram'!$I$2</c:f>
              <c:strCache>
                <c:ptCount val="1"/>
                <c:pt idx="0">
                  <c:v>Količina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'Rješenje-Instagram'!$J$1:$N$1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'Rješenje-Instagram'!$J$2:$N$2</c:f>
              <c:numCache>
                <c:formatCode>General</c:formatCode>
                <c:ptCount val="5"/>
                <c:pt idx="0">
                  <c:v>8</c:v>
                </c:pt>
                <c:pt idx="1">
                  <c:v>73</c:v>
                </c:pt>
                <c:pt idx="2">
                  <c:v>85</c:v>
                </c:pt>
                <c:pt idx="3">
                  <c:v>61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CB-4BF3-9074-0F4CB3401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7642096"/>
        <c:axId val="837639472"/>
      </c:lineChart>
      <c:catAx>
        <c:axId val="83764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837639472"/>
        <c:crosses val="autoZero"/>
        <c:auto val="1"/>
        <c:lblAlgn val="ctr"/>
        <c:lblOffset val="100"/>
        <c:noMultiLvlLbl val="0"/>
      </c:catAx>
      <c:valAx>
        <c:axId val="83763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r-Latn-RS"/>
          </a:p>
        </c:txPr>
        <c:crossAx val="83764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r-Latn-R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Najčešće vrijeme objava sadržaja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r-H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Najčešće vrijeme objava sadržaja</a:t>
          </a:r>
        </a:p>
      </cx:txPr>
    </cx:title>
    <cx:plotArea>
      <cx:plotAreaRegion>
        <cx:series layoutId="clusteredColumn" uniqueId="{9BEC1D3A-CDBF-4125-A190-FE4D6A8CAE07}">
          <cx:tx>
            <cx:txData>
              <cx:f>_xlchart.v1.3</cx:f>
              <cx:v>Vrijeme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Najčešće vrijeme objava pojedinih sadržaja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hr-H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Najčešće vrijeme objava pojedinih sadržaja</a:t>
          </a:r>
        </a:p>
      </cx:txPr>
    </cx:title>
    <cx:plotArea>
      <cx:plotAreaRegion>
        <cx:series layoutId="boxWhisker" uniqueId="{5FB177AF-95F5-4306-B7BD-D70D6FA791BE}">
          <cx:tx>
            <cx:txData>
              <cx:f>_xlchart.v1.1</cx:f>
              <cx:v>Vrijeme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  <cx:numFmt formatCode="h:mm:ss;" sourceLinked="0"/>
      </cx:axis>
      <cx:axis id="1">
        <cx:valScaling/>
        <cx:majorGridlines/>
        <cx:tickLabels/>
        <cx:numFmt formatCode="h:mm;" sourceLinked="0"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739140</xdr:colOff>
      <xdr:row>0</xdr:row>
      <xdr:rowOff>121920</xdr:rowOff>
    </xdr:from>
    <xdr:to>
      <xdr:col>9</xdr:col>
      <xdr:colOff>1356360</xdr:colOff>
      <xdr:row>18</xdr:row>
      <xdr:rowOff>167640</xdr:rowOff>
    </xdr:to>
    <xdr:graphicFrame macro="">
      <xdr:nvGraphicFramePr>
        <xdr:cNvPr id="2" name="Grafikon 1">
          <a:extLst>
            <a:ext uri="{FF2B5EF4-FFF2-40B4-BE49-F238E27FC236}">
              <a16:creationId xmlns:a16="http://schemas.microsoft.com/office/drawing/2014/main" id="{BB5AE2A7-1735-4D76-8E5B-4D919506E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297180</xdr:colOff>
      <xdr:row>8</xdr:row>
      <xdr:rowOff>106680</xdr:rowOff>
    </xdr:from>
    <xdr:to>
      <xdr:col>10</xdr:col>
      <xdr:colOff>7620</xdr:colOff>
      <xdr:row>23</xdr:row>
      <xdr:rowOff>106680</xdr:rowOff>
    </xdr:to>
    <xdr:graphicFrame macro="">
      <xdr:nvGraphicFramePr>
        <xdr:cNvPr id="3" name="Grafikon 2">
          <a:extLst>
            <a:ext uri="{FF2B5EF4-FFF2-40B4-BE49-F238E27FC236}">
              <a16:creationId xmlns:a16="http://schemas.microsoft.com/office/drawing/2014/main" id="{8B38DF3E-F4C6-4CC5-81EF-C7E8A101F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106680</xdr:colOff>
      <xdr:row>8</xdr:row>
      <xdr:rowOff>114300</xdr:rowOff>
    </xdr:from>
    <xdr:to>
      <xdr:col>17</xdr:col>
      <xdr:colOff>396240</xdr:colOff>
      <xdr:row>23</xdr:row>
      <xdr:rowOff>114300</xdr:rowOff>
    </xdr:to>
    <xdr:graphicFrame macro="">
      <xdr:nvGraphicFramePr>
        <xdr:cNvPr id="13" name="Grafikon 12">
          <a:extLst>
            <a:ext uri="{FF2B5EF4-FFF2-40B4-BE49-F238E27FC236}">
              <a16:creationId xmlns:a16="http://schemas.microsoft.com/office/drawing/2014/main" id="{C31BE808-A365-45D8-8BEF-ACBA39599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297180</xdr:colOff>
      <xdr:row>24</xdr:row>
      <xdr:rowOff>7620</xdr:rowOff>
    </xdr:from>
    <xdr:to>
      <xdr:col>10</xdr:col>
      <xdr:colOff>7620</xdr:colOff>
      <xdr:row>39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afikon 13">
              <a:extLst>
                <a:ext uri="{FF2B5EF4-FFF2-40B4-BE49-F238E27FC236}">
                  <a16:creationId xmlns:a16="http://schemas.microsoft.com/office/drawing/2014/main" id="{E2B4FA17-D4A6-4D81-BD0A-F2E1646526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0020" y="4396740"/>
              <a:ext cx="46939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r-HR" sz="1100"/>
                <a:t>Taj dijagram nije dostupan u vašoj verziji programa Excel.
Uređivanjem ovoga oblika ili spremanjem radne knjige u drugi datotečni oblik trajno ćete oštetiti dijagram.</a:t>
              </a:r>
            </a:p>
          </xdr:txBody>
        </xdr:sp>
      </mc:Fallback>
    </mc:AlternateContent>
    <xdr:clientData/>
  </xdr:twoCellAnchor>
  <xdr:twoCellAnchor>
    <xdr:from>
      <xdr:col>10</xdr:col>
      <xdr:colOff>137160</xdr:colOff>
      <xdr:row>24</xdr:row>
      <xdr:rowOff>0</xdr:rowOff>
    </xdr:from>
    <xdr:to>
      <xdr:col>17</xdr:col>
      <xdr:colOff>426720</xdr:colOff>
      <xdr:row>39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afikon 14">
              <a:extLst>
                <a:ext uri="{FF2B5EF4-FFF2-40B4-BE49-F238E27FC236}">
                  <a16:creationId xmlns:a16="http://schemas.microsoft.com/office/drawing/2014/main" id="{C0A58BFA-1477-437A-B5E7-69B9F2DD1B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93480" y="4389120"/>
              <a:ext cx="49225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hr-HR" sz="1100"/>
                <a:t>Taj dijagram nije dostupan u vašoj verziji programa Excel.
Uređivanjem ovoga oblika ili spremanjem radne knjige u drugi datotečni oblik trajno ćete oštetiti dijagram.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anjskipodaci_2" connectionId="3" xr16:uid="{9AD27256-0183-449B-9698-4678AB9F84F4}" autoFormatId="16" applyNumberFormats="0" applyBorderFormats="0" applyFontFormats="0" applyPatternFormats="0" applyAlignmentFormats="0" applyWidthHeightFormats="0">
  <queryTableRefresh nextId="7">
    <queryTableFields count="6">
      <queryTableField id="1" name="Naziv" tableColumnId="1"/>
      <queryTableField id="2" name="Vremenska prognoza" tableColumnId="2"/>
      <queryTableField id="3" name="Prognoza za nadmorsku visinu" tableColumnId="3"/>
      <queryTableField id="4" name="Prognoza za nadmorsku visinu2" tableColumnId="4"/>
      <queryTableField id="5" name="Prognoza za nadmorsku visinu3" tableColumnId="5"/>
      <queryTableField id="6" name="Hoteli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606DE-E2C8-4B9A-8C9D-114DB0132E14}" name="Table_1" displayName="Table_1" ref="B1:G41" tableType="queryTable" totalsRowShown="0">
  <autoFilter ref="B1:G41" xr:uid="{6312C255-4599-43EB-9938-32E088B96E7A}"/>
  <tableColumns count="6">
    <tableColumn id="1" xr3:uid="{F0ABFAAB-8F80-4B40-959D-6A2BCD816063}" uniqueName="1" name="Naziv" queryTableFieldId="1" dataDxfId="5"/>
    <tableColumn id="2" xr3:uid="{833333EA-030A-42C4-ADF8-CF954FB8ED6A}" uniqueName="2" name="Vremenska prognoza" queryTableFieldId="2" dataDxfId="4"/>
    <tableColumn id="3" xr3:uid="{74F3726F-4AA5-4057-B922-F64F9BE3458F}" uniqueName="3" name="Prognoza za nadmorsku visinu" queryTableFieldId="3" dataDxfId="3"/>
    <tableColumn id="4" xr3:uid="{9762EC27-9CA9-466F-9D8C-8047BA7467FE}" uniqueName="4" name="Prognoza za nadmorsku visinu2" queryTableFieldId="4" dataDxfId="2"/>
    <tableColumn id="5" xr3:uid="{85C903F1-2F1A-4180-81E5-F536B2001303}" uniqueName="5" name="Prognoza za nadmorsku visinu3" queryTableFieldId="5" dataDxfId="1"/>
    <tableColumn id="6" xr3:uid="{A1F13869-F0F7-40E4-B8DB-0F073B830E7B}" uniqueName="6" name="Hoteli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reemeteo.com.hr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freemeteo.com.h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ED13-5CF9-460B-975F-91BAB3BBBFDE}">
  <dimension ref="A1:F23"/>
  <sheetViews>
    <sheetView workbookViewId="0">
      <selection activeCell="F13" sqref="F13"/>
    </sheetView>
  </sheetViews>
  <sheetFormatPr defaultRowHeight="14.4" x14ac:dyDescent="0.3"/>
  <cols>
    <col min="1" max="1" width="25.5546875" customWidth="1"/>
    <col min="2" max="2" width="31.109375" customWidth="1"/>
    <col min="3" max="3" width="12.77734375" customWidth="1"/>
    <col min="4" max="4" width="13.21875" customWidth="1"/>
    <col min="5" max="5" width="15.21875" customWidth="1"/>
    <col min="6" max="6" width="19.33203125" customWidth="1"/>
  </cols>
  <sheetData>
    <row r="1" spans="1:6" x14ac:dyDescent="0.3">
      <c r="A1" s="12" t="s">
        <v>9</v>
      </c>
      <c r="B1" s="12" t="s">
        <v>10</v>
      </c>
      <c r="C1" s="12" t="s">
        <v>7</v>
      </c>
      <c r="D1" s="12" t="s">
        <v>11</v>
      </c>
      <c r="E1" s="21" t="s">
        <v>27</v>
      </c>
      <c r="F1" s="29" t="s">
        <v>35</v>
      </c>
    </row>
    <row r="2" spans="1:6" x14ac:dyDescent="0.3">
      <c r="A2" s="2" t="s">
        <v>18</v>
      </c>
      <c r="B2" s="2" t="s">
        <v>14</v>
      </c>
      <c r="C2" s="31">
        <v>4</v>
      </c>
      <c r="D2" s="31">
        <v>4</v>
      </c>
      <c r="E2" s="30"/>
      <c r="F2" s="34"/>
    </row>
    <row r="3" spans="1:6" x14ac:dyDescent="0.3">
      <c r="A3" s="2" t="s">
        <v>19</v>
      </c>
      <c r="B3" s="2" t="s">
        <v>12</v>
      </c>
      <c r="C3" s="31">
        <v>5</v>
      </c>
      <c r="D3" s="31">
        <v>8</v>
      </c>
      <c r="E3" s="30"/>
      <c r="F3" s="34"/>
    </row>
    <row r="4" spans="1:6" x14ac:dyDescent="0.3">
      <c r="A4" s="2" t="s">
        <v>19</v>
      </c>
      <c r="B4" s="2" t="s">
        <v>13</v>
      </c>
      <c r="C4" s="31">
        <v>7</v>
      </c>
      <c r="D4" s="31">
        <v>12</v>
      </c>
      <c r="E4" s="30"/>
      <c r="F4" s="34"/>
    </row>
    <row r="5" spans="1:6" x14ac:dyDescent="0.3">
      <c r="A5" s="2" t="s">
        <v>20</v>
      </c>
      <c r="B5" s="2" t="s">
        <v>23</v>
      </c>
      <c r="C5" s="31">
        <v>20</v>
      </c>
      <c r="D5" s="31">
        <v>0.69</v>
      </c>
      <c r="E5" s="30"/>
      <c r="F5" s="34"/>
    </row>
    <row r="6" spans="1:6" x14ac:dyDescent="0.3">
      <c r="A6" s="2" t="s">
        <v>20</v>
      </c>
      <c r="B6" s="18" t="s">
        <v>24</v>
      </c>
      <c r="C6" s="31">
        <v>10</v>
      </c>
      <c r="D6" s="31">
        <v>0.69</v>
      </c>
      <c r="E6" s="30"/>
      <c r="F6" s="34"/>
    </row>
    <row r="7" spans="1:6" x14ac:dyDescent="0.3">
      <c r="A7" s="2" t="s">
        <v>18</v>
      </c>
      <c r="B7" s="2" t="s">
        <v>15</v>
      </c>
      <c r="C7" s="31">
        <v>3</v>
      </c>
      <c r="D7" s="31">
        <v>10</v>
      </c>
      <c r="E7" s="30"/>
      <c r="F7" s="34"/>
    </row>
    <row r="8" spans="1:6" x14ac:dyDescent="0.3">
      <c r="A8" s="2" t="s">
        <v>19</v>
      </c>
      <c r="B8" s="2" t="s">
        <v>16</v>
      </c>
      <c r="C8" s="31">
        <v>5</v>
      </c>
      <c r="D8" s="31">
        <v>6</v>
      </c>
      <c r="E8" s="30"/>
      <c r="F8" s="34"/>
    </row>
    <row r="9" spans="1:6" x14ac:dyDescent="0.3">
      <c r="A9" s="2" t="s">
        <v>18</v>
      </c>
      <c r="B9" s="2" t="s">
        <v>17</v>
      </c>
      <c r="C9" s="31">
        <v>3</v>
      </c>
      <c r="D9" s="31">
        <v>6</v>
      </c>
      <c r="E9" s="30"/>
      <c r="F9" s="34"/>
    </row>
    <row r="10" spans="1:6" x14ac:dyDescent="0.3">
      <c r="A10" s="2" t="s">
        <v>22</v>
      </c>
      <c r="B10" s="2" t="s">
        <v>21</v>
      </c>
      <c r="C10" s="31">
        <v>2</v>
      </c>
      <c r="D10" s="31">
        <v>30</v>
      </c>
      <c r="E10" s="30"/>
      <c r="F10" s="34"/>
    </row>
    <row r="11" spans="1:6" x14ac:dyDescent="0.3">
      <c r="A11" s="2" t="s">
        <v>22</v>
      </c>
      <c r="B11" s="2" t="s">
        <v>25</v>
      </c>
      <c r="C11" s="31">
        <v>1</v>
      </c>
      <c r="D11" s="31">
        <v>40</v>
      </c>
      <c r="E11" s="30"/>
      <c r="F11" s="34"/>
    </row>
    <row r="12" spans="1:6" x14ac:dyDescent="0.3">
      <c r="A12" s="2" t="s">
        <v>19</v>
      </c>
      <c r="B12" s="13" t="s">
        <v>26</v>
      </c>
      <c r="C12" s="31">
        <v>2</v>
      </c>
      <c r="D12" s="31">
        <v>60</v>
      </c>
      <c r="E12" s="30"/>
      <c r="F12" s="34"/>
    </row>
    <row r="13" spans="1:6" x14ac:dyDescent="0.3">
      <c r="A13" s="11"/>
      <c r="B13" s="11"/>
      <c r="C13" s="25"/>
      <c r="D13" s="26"/>
      <c r="E13" s="27"/>
    </row>
    <row r="14" spans="1:6" x14ac:dyDescent="0.3">
      <c r="A14" s="24" t="s">
        <v>33</v>
      </c>
      <c r="B14" s="37">
        <v>500</v>
      </c>
      <c r="C14" s="37"/>
      <c r="D14" s="37"/>
    </row>
    <row r="15" spans="1:6" x14ac:dyDescent="0.3">
      <c r="A15" s="23" t="s">
        <v>34</v>
      </c>
      <c r="B15" s="38"/>
      <c r="C15" s="39"/>
      <c r="D15" s="39"/>
    </row>
    <row r="17" spans="1:5" x14ac:dyDescent="0.3">
      <c r="A17" s="22" t="s">
        <v>28</v>
      </c>
      <c r="B17" s="20"/>
      <c r="D17" s="28" t="s">
        <v>32</v>
      </c>
      <c r="E17" s="28"/>
    </row>
    <row r="18" spans="1:5" x14ac:dyDescent="0.3">
      <c r="A18" s="22" t="s">
        <v>29</v>
      </c>
      <c r="B18" s="20"/>
      <c r="D18" s="24" t="s">
        <v>18</v>
      </c>
      <c r="E18" s="20"/>
    </row>
    <row r="19" spans="1:5" x14ac:dyDescent="0.3">
      <c r="A19" s="22" t="s">
        <v>30</v>
      </c>
      <c r="B19" s="20"/>
      <c r="D19" s="24" t="s">
        <v>19</v>
      </c>
      <c r="E19" s="20"/>
    </row>
    <row r="20" spans="1:5" x14ac:dyDescent="0.3">
      <c r="A20" s="22" t="s">
        <v>31</v>
      </c>
      <c r="B20" s="20"/>
      <c r="D20" s="24" t="s">
        <v>20</v>
      </c>
      <c r="E20" s="20"/>
    </row>
    <row r="21" spans="1:5" x14ac:dyDescent="0.3">
      <c r="D21" s="24" t="s">
        <v>22</v>
      </c>
      <c r="E21" s="20"/>
    </row>
    <row r="23" spans="1:5" x14ac:dyDescent="0.3">
      <c r="E23" s="11"/>
    </row>
  </sheetData>
  <mergeCells count="2">
    <mergeCell ref="B14:D14"/>
    <mergeCell ref="B15:D15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B5397-0812-4023-85A6-D0431032D459}">
  <dimension ref="A1:O281"/>
  <sheetViews>
    <sheetView tabSelected="1" workbookViewId="0">
      <selection activeCell="K10" sqref="K10"/>
    </sheetView>
  </sheetViews>
  <sheetFormatPr defaultRowHeight="14.4" x14ac:dyDescent="0.3"/>
  <cols>
    <col min="2" max="2" width="17.77734375" customWidth="1"/>
    <col min="3" max="3" width="11.5546875" style="8" customWidth="1"/>
    <col min="4" max="4" width="15.33203125" customWidth="1"/>
  </cols>
  <sheetData>
    <row r="1" spans="1:15" x14ac:dyDescent="0.3">
      <c r="A1" s="3" t="s">
        <v>4</v>
      </c>
      <c r="B1" s="14" t="s">
        <v>5</v>
      </c>
      <c r="C1" s="16" t="s">
        <v>6</v>
      </c>
      <c r="D1" s="3" t="s">
        <v>8</v>
      </c>
      <c r="F1" s="6" t="s">
        <v>4</v>
      </c>
      <c r="G1" s="6" t="s">
        <v>7</v>
      </c>
      <c r="J1" s="9"/>
      <c r="K1" s="7">
        <v>2015</v>
      </c>
      <c r="L1" s="7">
        <v>2016</v>
      </c>
      <c r="M1" s="7">
        <v>2017</v>
      </c>
      <c r="N1" s="7">
        <v>2018</v>
      </c>
      <c r="O1" s="7">
        <v>2019</v>
      </c>
    </row>
    <row r="2" spans="1:15" x14ac:dyDescent="0.3">
      <c r="A2" s="2" t="s">
        <v>1</v>
      </c>
      <c r="B2" s="15">
        <v>43911</v>
      </c>
      <c r="C2" s="5">
        <v>0.85293981481481485</v>
      </c>
      <c r="D2" s="2"/>
      <c r="F2" s="2" t="s">
        <v>0</v>
      </c>
      <c r="G2" s="2"/>
      <c r="J2" s="12" t="s">
        <v>7</v>
      </c>
      <c r="K2" s="2"/>
      <c r="L2" s="2"/>
      <c r="M2" s="2"/>
      <c r="N2" s="2"/>
      <c r="O2" s="2"/>
    </row>
    <row r="3" spans="1:15" x14ac:dyDescent="0.3">
      <c r="A3" s="2" t="s">
        <v>1</v>
      </c>
      <c r="B3" s="15">
        <v>43832</v>
      </c>
      <c r="C3" s="5">
        <v>0.37597222222222221</v>
      </c>
      <c r="D3" s="2"/>
      <c r="F3" s="2" t="s">
        <v>1</v>
      </c>
      <c r="G3" s="2"/>
    </row>
    <row r="4" spans="1:15" x14ac:dyDescent="0.3">
      <c r="A4" s="2" t="s">
        <v>1</v>
      </c>
      <c r="B4" s="15">
        <v>43831</v>
      </c>
      <c r="C4" s="5">
        <v>0.82887731481481486</v>
      </c>
      <c r="D4" s="2"/>
      <c r="F4" s="2" t="s">
        <v>2</v>
      </c>
      <c r="G4" s="2"/>
    </row>
    <row r="5" spans="1:15" x14ac:dyDescent="0.3">
      <c r="A5" s="2" t="s">
        <v>0</v>
      </c>
      <c r="B5" s="15">
        <v>43825</v>
      </c>
      <c r="C5" s="5">
        <v>0.3835069444444445</v>
      </c>
      <c r="D5" s="2"/>
      <c r="F5" s="2" t="s">
        <v>3</v>
      </c>
      <c r="G5" s="2"/>
    </row>
    <row r="6" spans="1:15" x14ac:dyDescent="0.3">
      <c r="A6" s="2" t="s">
        <v>1</v>
      </c>
      <c r="B6" s="15">
        <v>43825</v>
      </c>
      <c r="C6" s="5">
        <v>0.48937499999999995</v>
      </c>
      <c r="D6" s="2"/>
    </row>
    <row r="7" spans="1:15" x14ac:dyDescent="0.3">
      <c r="A7" s="2" t="s">
        <v>1</v>
      </c>
      <c r="B7" s="15">
        <v>43824</v>
      </c>
      <c r="C7" s="5">
        <v>0.46429398148148149</v>
      </c>
      <c r="D7" s="2"/>
    </row>
    <row r="8" spans="1:15" x14ac:dyDescent="0.3">
      <c r="A8" s="2" t="s">
        <v>1</v>
      </c>
      <c r="B8" s="15">
        <v>43817</v>
      </c>
      <c r="C8" s="5">
        <v>0.42288194444444444</v>
      </c>
      <c r="D8" s="2"/>
    </row>
    <row r="9" spans="1:15" x14ac:dyDescent="0.3">
      <c r="A9" s="2" t="s">
        <v>1</v>
      </c>
      <c r="B9" s="15">
        <v>43809</v>
      </c>
      <c r="C9" s="5">
        <v>0.34670138888888885</v>
      </c>
      <c r="D9" s="2"/>
    </row>
    <row r="10" spans="1:15" x14ac:dyDescent="0.3">
      <c r="A10" s="2" t="s">
        <v>1</v>
      </c>
      <c r="B10" s="15">
        <v>43806</v>
      </c>
      <c r="C10" s="5">
        <v>0.55680555555555555</v>
      </c>
      <c r="D10" s="2"/>
    </row>
    <row r="11" spans="1:15" x14ac:dyDescent="0.3">
      <c r="A11" s="2" t="s">
        <v>1</v>
      </c>
      <c r="B11" s="15">
        <v>43792</v>
      </c>
      <c r="C11" s="5">
        <v>0.90457175925925926</v>
      </c>
      <c r="D11" s="2"/>
    </row>
    <row r="12" spans="1:15" x14ac:dyDescent="0.3">
      <c r="A12" s="2" t="s">
        <v>1</v>
      </c>
      <c r="B12" s="15">
        <v>43791</v>
      </c>
      <c r="C12" s="5">
        <v>0.79517361111111118</v>
      </c>
      <c r="D12" s="2"/>
    </row>
    <row r="13" spans="1:15" x14ac:dyDescent="0.3">
      <c r="A13" s="2" t="s">
        <v>0</v>
      </c>
      <c r="B13" s="15">
        <v>43781</v>
      </c>
      <c r="C13" s="5">
        <v>0.8774074074074073</v>
      </c>
      <c r="D13" s="2"/>
    </row>
    <row r="14" spans="1:15" x14ac:dyDescent="0.3">
      <c r="A14" s="2" t="s">
        <v>1</v>
      </c>
      <c r="B14" s="15">
        <v>43781</v>
      </c>
      <c r="C14" s="5">
        <v>0.65524305555555562</v>
      </c>
      <c r="D14" s="2"/>
    </row>
    <row r="15" spans="1:15" x14ac:dyDescent="0.3">
      <c r="A15" s="2" t="s">
        <v>1</v>
      </c>
      <c r="B15" s="15">
        <v>43778</v>
      </c>
      <c r="C15" s="5">
        <v>0.87078703703703697</v>
      </c>
      <c r="D15" s="2"/>
    </row>
    <row r="16" spans="1:15" x14ac:dyDescent="0.3">
      <c r="A16" s="2" t="s">
        <v>1</v>
      </c>
      <c r="B16" s="15">
        <v>43778</v>
      </c>
      <c r="C16" s="5">
        <v>0.87078703703703697</v>
      </c>
      <c r="D16" s="2"/>
    </row>
    <row r="17" spans="1:4" x14ac:dyDescent="0.3">
      <c r="A17" s="2" t="s">
        <v>2</v>
      </c>
      <c r="B17" s="15">
        <v>43778</v>
      </c>
      <c r="C17" s="5">
        <v>0.87355324074074081</v>
      </c>
      <c r="D17" s="2"/>
    </row>
    <row r="18" spans="1:4" x14ac:dyDescent="0.3">
      <c r="A18" s="2" t="s">
        <v>1</v>
      </c>
      <c r="B18" s="15">
        <v>43737</v>
      </c>
      <c r="C18" s="5">
        <v>0.38119212962962962</v>
      </c>
      <c r="D18" s="2"/>
    </row>
    <row r="19" spans="1:4" x14ac:dyDescent="0.3">
      <c r="A19" s="2" t="s">
        <v>1</v>
      </c>
      <c r="B19" s="15">
        <v>43737</v>
      </c>
      <c r="C19" s="5">
        <v>0.38119212962962962</v>
      </c>
      <c r="D19" s="2"/>
    </row>
    <row r="20" spans="1:4" x14ac:dyDescent="0.3">
      <c r="A20" s="2" t="s">
        <v>1</v>
      </c>
      <c r="B20" s="15">
        <v>43736</v>
      </c>
      <c r="C20" s="5">
        <v>0.84785879629629635</v>
      </c>
      <c r="D20" s="2"/>
    </row>
    <row r="21" spans="1:4" x14ac:dyDescent="0.3">
      <c r="A21" s="2" t="s">
        <v>1</v>
      </c>
      <c r="B21" s="15">
        <v>43736</v>
      </c>
      <c r="C21" s="5">
        <v>0.84785879629629635</v>
      </c>
      <c r="D21" s="2"/>
    </row>
    <row r="22" spans="1:4" x14ac:dyDescent="0.3">
      <c r="A22" s="2" t="s">
        <v>1</v>
      </c>
      <c r="B22" s="15">
        <v>43736</v>
      </c>
      <c r="C22" s="5">
        <v>0.84785879629629635</v>
      </c>
      <c r="D22" s="2"/>
    </row>
    <row r="23" spans="1:4" x14ac:dyDescent="0.3">
      <c r="A23" s="2" t="s">
        <v>1</v>
      </c>
      <c r="B23" s="15">
        <v>43736</v>
      </c>
      <c r="C23" s="5">
        <v>0.84785879629629635</v>
      </c>
      <c r="D23" s="2"/>
    </row>
    <row r="24" spans="1:4" x14ac:dyDescent="0.3">
      <c r="A24" s="2" t="s">
        <v>1</v>
      </c>
      <c r="B24" s="15">
        <v>43651</v>
      </c>
      <c r="C24" s="5">
        <v>0.5625</v>
      </c>
      <c r="D24" s="2"/>
    </row>
    <row r="25" spans="1:4" x14ac:dyDescent="0.3">
      <c r="A25" s="2" t="s">
        <v>1</v>
      </c>
      <c r="B25" s="15">
        <v>43576</v>
      </c>
      <c r="C25" s="5">
        <v>0.33173611111111112</v>
      </c>
      <c r="D25" s="2"/>
    </row>
    <row r="26" spans="1:4" x14ac:dyDescent="0.3">
      <c r="A26" s="2" t="s">
        <v>1</v>
      </c>
      <c r="B26" s="15">
        <v>43569</v>
      </c>
      <c r="C26" s="5">
        <v>0.87972222222222218</v>
      </c>
      <c r="D26" s="2"/>
    </row>
    <row r="27" spans="1:4" x14ac:dyDescent="0.3">
      <c r="A27" s="2" t="s">
        <v>1</v>
      </c>
      <c r="B27" s="15">
        <v>43569</v>
      </c>
      <c r="C27" s="5">
        <v>0.87972222222222218</v>
      </c>
      <c r="D27" s="2"/>
    </row>
    <row r="28" spans="1:4" x14ac:dyDescent="0.3">
      <c r="A28" s="2" t="s">
        <v>1</v>
      </c>
      <c r="B28" s="15">
        <v>43569</v>
      </c>
      <c r="C28" s="5">
        <v>0.42850694444444448</v>
      </c>
      <c r="D28" s="2"/>
    </row>
    <row r="29" spans="1:4" x14ac:dyDescent="0.3">
      <c r="A29" s="2" t="s">
        <v>1</v>
      </c>
      <c r="B29" s="15">
        <v>43569</v>
      </c>
      <c r="C29" s="5">
        <v>0.42850694444444448</v>
      </c>
      <c r="D29" s="2"/>
    </row>
    <row r="30" spans="1:4" x14ac:dyDescent="0.3">
      <c r="A30" s="2" t="s">
        <v>1</v>
      </c>
      <c r="B30" s="15">
        <v>43569</v>
      </c>
      <c r="C30" s="5">
        <v>0.42850694444444448</v>
      </c>
      <c r="D30" s="2"/>
    </row>
    <row r="31" spans="1:4" x14ac:dyDescent="0.3">
      <c r="A31" s="2" t="s">
        <v>1</v>
      </c>
      <c r="B31" s="15">
        <v>43569</v>
      </c>
      <c r="C31" s="5">
        <v>0.42850694444444448</v>
      </c>
      <c r="D31" s="2"/>
    </row>
    <row r="32" spans="1:4" x14ac:dyDescent="0.3">
      <c r="A32" s="2" t="s">
        <v>1</v>
      </c>
      <c r="B32" s="15">
        <v>43568</v>
      </c>
      <c r="C32" s="5">
        <v>0.60322916666666659</v>
      </c>
      <c r="D32" s="2"/>
    </row>
    <row r="33" spans="1:4" x14ac:dyDescent="0.3">
      <c r="A33" s="2" t="s">
        <v>1</v>
      </c>
      <c r="B33" s="15">
        <v>43562</v>
      </c>
      <c r="C33" s="5">
        <v>0.35695601851851855</v>
      </c>
      <c r="D33" s="2"/>
    </row>
    <row r="34" spans="1:4" x14ac:dyDescent="0.3">
      <c r="A34" s="2" t="s">
        <v>1</v>
      </c>
      <c r="B34" s="15">
        <v>43562</v>
      </c>
      <c r="C34" s="5">
        <v>0.35695601851851855</v>
      </c>
      <c r="D34" s="2"/>
    </row>
    <row r="35" spans="1:4" x14ac:dyDescent="0.3">
      <c r="A35" s="2" t="s">
        <v>1</v>
      </c>
      <c r="B35" s="15">
        <v>43561</v>
      </c>
      <c r="C35" s="5">
        <v>0.36280092592592594</v>
      </c>
      <c r="D35" s="2"/>
    </row>
    <row r="36" spans="1:4" x14ac:dyDescent="0.3">
      <c r="A36" s="2" t="s">
        <v>1</v>
      </c>
      <c r="B36" s="15">
        <v>43551</v>
      </c>
      <c r="C36" s="5">
        <v>0.87498842592592585</v>
      </c>
      <c r="D36" s="2"/>
    </row>
    <row r="37" spans="1:4" x14ac:dyDescent="0.3">
      <c r="A37" s="2" t="s">
        <v>1</v>
      </c>
      <c r="B37" s="15">
        <v>43551</v>
      </c>
      <c r="C37" s="5">
        <v>0.87498842592592585</v>
      </c>
      <c r="D37" s="2"/>
    </row>
    <row r="38" spans="1:4" x14ac:dyDescent="0.3">
      <c r="A38" s="2" t="s">
        <v>1</v>
      </c>
      <c r="B38" s="15">
        <v>43540</v>
      </c>
      <c r="C38" s="5">
        <v>0.49835648148148143</v>
      </c>
      <c r="D38" s="2"/>
    </row>
    <row r="39" spans="1:4" x14ac:dyDescent="0.3">
      <c r="A39" s="2" t="s">
        <v>1</v>
      </c>
      <c r="B39" s="15">
        <v>43540</v>
      </c>
      <c r="C39" s="5">
        <v>0.49835648148148143</v>
      </c>
      <c r="D39" s="2"/>
    </row>
    <row r="40" spans="1:4" x14ac:dyDescent="0.3">
      <c r="A40" s="2" t="s">
        <v>1</v>
      </c>
      <c r="B40" s="15">
        <v>43525</v>
      </c>
      <c r="C40" s="5">
        <v>0.8181250000000001</v>
      </c>
      <c r="D40" s="2"/>
    </row>
    <row r="41" spans="1:4" x14ac:dyDescent="0.3">
      <c r="A41" s="2" t="s">
        <v>1</v>
      </c>
      <c r="B41" s="15">
        <v>43524</v>
      </c>
      <c r="C41" s="5">
        <v>0.4220949074074074</v>
      </c>
      <c r="D41" s="2"/>
    </row>
    <row r="42" spans="1:4" x14ac:dyDescent="0.3">
      <c r="A42" s="2" t="s">
        <v>1</v>
      </c>
      <c r="B42" s="15">
        <v>43524</v>
      </c>
      <c r="C42" s="5">
        <v>0.4220949074074074</v>
      </c>
      <c r="D42" s="2"/>
    </row>
    <row r="43" spans="1:4" x14ac:dyDescent="0.3">
      <c r="A43" s="2" t="s">
        <v>1</v>
      </c>
      <c r="B43" s="15">
        <v>43523</v>
      </c>
      <c r="C43" s="5">
        <v>0.77719907407407407</v>
      </c>
      <c r="D43" s="2"/>
    </row>
    <row r="44" spans="1:4" x14ac:dyDescent="0.3">
      <c r="A44" s="2" t="s">
        <v>1</v>
      </c>
      <c r="B44" s="15">
        <v>43523</v>
      </c>
      <c r="C44" s="5">
        <v>0.77719907407407407</v>
      </c>
      <c r="D44" s="2"/>
    </row>
    <row r="45" spans="1:4" x14ac:dyDescent="0.3">
      <c r="A45" s="2" t="s">
        <v>1</v>
      </c>
      <c r="B45" s="15">
        <v>43523</v>
      </c>
      <c r="C45" s="5">
        <v>0.77719907407407407</v>
      </c>
      <c r="D45" s="2"/>
    </row>
    <row r="46" spans="1:4" x14ac:dyDescent="0.3">
      <c r="A46" s="2" t="s">
        <v>1</v>
      </c>
      <c r="B46" s="15">
        <v>43523</v>
      </c>
      <c r="C46" s="5">
        <v>0.77719907407407407</v>
      </c>
      <c r="D46" s="2"/>
    </row>
    <row r="47" spans="1:4" x14ac:dyDescent="0.3">
      <c r="A47" s="2" t="s">
        <v>1</v>
      </c>
      <c r="B47" s="15">
        <v>43523</v>
      </c>
      <c r="C47" s="5">
        <v>0.77719907407407407</v>
      </c>
      <c r="D47" s="2"/>
    </row>
    <row r="48" spans="1:4" x14ac:dyDescent="0.3">
      <c r="A48" s="2" t="s">
        <v>1</v>
      </c>
      <c r="B48" s="15">
        <v>43522</v>
      </c>
      <c r="C48" s="5">
        <v>0.74214120370370373</v>
      </c>
      <c r="D48" s="2"/>
    </row>
    <row r="49" spans="1:4" x14ac:dyDescent="0.3">
      <c r="A49" s="2" t="s">
        <v>0</v>
      </c>
      <c r="B49" s="15">
        <v>43519</v>
      </c>
      <c r="C49" s="5">
        <v>0.4195949074074074</v>
      </c>
      <c r="D49" s="2"/>
    </row>
    <row r="50" spans="1:4" x14ac:dyDescent="0.3">
      <c r="A50" s="2" t="s">
        <v>1</v>
      </c>
      <c r="B50" s="15">
        <v>43482</v>
      </c>
      <c r="C50" s="5">
        <v>0.33704861111111112</v>
      </c>
      <c r="D50" s="2"/>
    </row>
    <row r="51" spans="1:4" x14ac:dyDescent="0.3">
      <c r="A51" s="2" t="s">
        <v>1</v>
      </c>
      <c r="B51" s="15">
        <v>43469</v>
      </c>
      <c r="C51" s="5">
        <v>0.46357638888888886</v>
      </c>
      <c r="D51" s="2"/>
    </row>
    <row r="52" spans="1:4" x14ac:dyDescent="0.3">
      <c r="A52" s="2" t="s">
        <v>1</v>
      </c>
      <c r="B52" s="15">
        <v>43468</v>
      </c>
      <c r="C52" s="5">
        <v>0.86070601851851858</v>
      </c>
      <c r="D52" s="2"/>
    </row>
    <row r="53" spans="1:4" x14ac:dyDescent="0.3">
      <c r="A53" s="2" t="s">
        <v>1</v>
      </c>
      <c r="B53" s="15">
        <v>43468</v>
      </c>
      <c r="C53" s="5">
        <v>0.67090277777777774</v>
      </c>
      <c r="D53" s="2"/>
    </row>
    <row r="54" spans="1:4" x14ac:dyDescent="0.3">
      <c r="A54" s="2" t="s">
        <v>1</v>
      </c>
      <c r="B54" s="15">
        <v>43467</v>
      </c>
      <c r="C54" s="5">
        <v>6.3657407407407402E-4</v>
      </c>
      <c r="D54" s="2"/>
    </row>
    <row r="55" spans="1:4" x14ac:dyDescent="0.3">
      <c r="A55" s="2" t="s">
        <v>1</v>
      </c>
      <c r="B55" s="15">
        <v>43459</v>
      </c>
      <c r="C55" s="5">
        <v>0.36736111111111108</v>
      </c>
      <c r="D55" s="2"/>
    </row>
    <row r="56" spans="1:4" x14ac:dyDescent="0.3">
      <c r="A56" s="2" t="s">
        <v>1</v>
      </c>
      <c r="B56" s="15">
        <v>43458</v>
      </c>
      <c r="C56" s="5">
        <v>0.47255787037037034</v>
      </c>
      <c r="D56" s="2"/>
    </row>
    <row r="57" spans="1:4" x14ac:dyDescent="0.3">
      <c r="A57" s="2" t="s">
        <v>1</v>
      </c>
      <c r="B57" s="15">
        <v>43454</v>
      </c>
      <c r="C57" s="5">
        <v>0.54219907407407408</v>
      </c>
      <c r="D57" s="2"/>
    </row>
    <row r="58" spans="1:4" x14ac:dyDescent="0.3">
      <c r="A58" s="2" t="s">
        <v>1</v>
      </c>
      <c r="B58" s="15">
        <v>43451</v>
      </c>
      <c r="C58" s="5">
        <v>0.55174768518518513</v>
      </c>
      <c r="D58" s="2"/>
    </row>
    <row r="59" spans="1:4" x14ac:dyDescent="0.3">
      <c r="A59" s="2" t="s">
        <v>1</v>
      </c>
      <c r="B59" s="15">
        <v>43450</v>
      </c>
      <c r="C59" s="5">
        <v>0.42682870370370374</v>
      </c>
      <c r="D59" s="2"/>
    </row>
    <row r="60" spans="1:4" x14ac:dyDescent="0.3">
      <c r="A60" s="2" t="s">
        <v>3</v>
      </c>
      <c r="B60" s="15">
        <v>43400</v>
      </c>
      <c r="C60" s="5">
        <v>0.93501157407407398</v>
      </c>
      <c r="D60" s="2"/>
    </row>
    <row r="61" spans="1:4" x14ac:dyDescent="0.3">
      <c r="A61" s="2" t="s">
        <v>1</v>
      </c>
      <c r="B61" s="15">
        <v>43396</v>
      </c>
      <c r="C61" s="5">
        <v>0.32643518518518516</v>
      </c>
      <c r="D61" s="2"/>
    </row>
    <row r="62" spans="1:4" x14ac:dyDescent="0.3">
      <c r="A62" s="2" t="s">
        <v>1</v>
      </c>
      <c r="B62" s="15">
        <v>43359</v>
      </c>
      <c r="C62" s="5">
        <v>0.36921296296296297</v>
      </c>
      <c r="D62" s="2"/>
    </row>
    <row r="63" spans="1:4" x14ac:dyDescent="0.3">
      <c r="A63" s="2" t="s">
        <v>1</v>
      </c>
      <c r="B63" s="15">
        <v>43358</v>
      </c>
      <c r="C63" s="5">
        <v>0.3477662037037037</v>
      </c>
      <c r="D63" s="2"/>
    </row>
    <row r="64" spans="1:4" x14ac:dyDescent="0.3">
      <c r="A64" s="2" t="s">
        <v>1</v>
      </c>
      <c r="B64" s="15">
        <v>43347</v>
      </c>
      <c r="C64" s="5">
        <v>0.37134259259259261</v>
      </c>
      <c r="D64" s="2"/>
    </row>
    <row r="65" spans="1:4" x14ac:dyDescent="0.3">
      <c r="A65" s="2" t="s">
        <v>1</v>
      </c>
      <c r="B65" s="15">
        <v>43321</v>
      </c>
      <c r="C65" s="5">
        <v>0.27979166666666666</v>
      </c>
      <c r="D65" s="2"/>
    </row>
    <row r="66" spans="1:4" x14ac:dyDescent="0.3">
      <c r="A66" s="2" t="s">
        <v>1</v>
      </c>
      <c r="B66" s="15">
        <v>43320</v>
      </c>
      <c r="C66" s="5">
        <v>0.37894675925925925</v>
      </c>
      <c r="D66" s="2"/>
    </row>
    <row r="67" spans="1:4" x14ac:dyDescent="0.3">
      <c r="A67" s="2" t="s">
        <v>1</v>
      </c>
      <c r="B67" s="15">
        <v>43293</v>
      </c>
      <c r="C67" s="5">
        <v>0.676875</v>
      </c>
      <c r="D67" s="2"/>
    </row>
    <row r="68" spans="1:4" x14ac:dyDescent="0.3">
      <c r="A68" s="2" t="s">
        <v>1</v>
      </c>
      <c r="B68" s="15">
        <v>43293</v>
      </c>
      <c r="C68" s="5">
        <v>0.57379629629629625</v>
      </c>
      <c r="D68" s="2"/>
    </row>
    <row r="69" spans="1:4" x14ac:dyDescent="0.3">
      <c r="A69" s="2" t="s">
        <v>1</v>
      </c>
      <c r="B69" s="15">
        <v>43285</v>
      </c>
      <c r="C69" s="5">
        <v>0.41565972222222225</v>
      </c>
      <c r="D69" s="2"/>
    </row>
    <row r="70" spans="1:4" x14ac:dyDescent="0.3">
      <c r="A70" s="2" t="s">
        <v>1</v>
      </c>
      <c r="B70" s="15">
        <v>43284</v>
      </c>
      <c r="C70" s="5">
        <v>0.54454861111111108</v>
      </c>
      <c r="D70" s="2"/>
    </row>
    <row r="71" spans="1:4" x14ac:dyDescent="0.3">
      <c r="A71" s="2" t="s">
        <v>1</v>
      </c>
      <c r="B71" s="15">
        <v>43274</v>
      </c>
      <c r="C71" s="5">
        <v>0.26406250000000003</v>
      </c>
      <c r="D71" s="2"/>
    </row>
    <row r="72" spans="1:4" x14ac:dyDescent="0.3">
      <c r="A72" s="2" t="s">
        <v>1</v>
      </c>
      <c r="B72" s="15">
        <v>43274</v>
      </c>
      <c r="C72" s="5">
        <v>0.26403935185185184</v>
      </c>
      <c r="D72" s="2"/>
    </row>
    <row r="73" spans="1:4" x14ac:dyDescent="0.3">
      <c r="A73" s="2" t="s">
        <v>1</v>
      </c>
      <c r="B73" s="15">
        <v>43273</v>
      </c>
      <c r="C73" s="5">
        <v>0.83081018518518512</v>
      </c>
      <c r="D73" s="2"/>
    </row>
    <row r="74" spans="1:4" x14ac:dyDescent="0.3">
      <c r="A74" s="2" t="s">
        <v>1</v>
      </c>
      <c r="B74" s="15">
        <v>43273</v>
      </c>
      <c r="C74" s="5">
        <v>0.83078703703703705</v>
      </c>
      <c r="D74" s="2"/>
    </row>
    <row r="75" spans="1:4" x14ac:dyDescent="0.3">
      <c r="A75" s="2" t="s">
        <v>1</v>
      </c>
      <c r="B75" s="15">
        <v>43273</v>
      </c>
      <c r="C75" s="5">
        <v>0.48260416666666667</v>
      </c>
      <c r="D75" s="2"/>
    </row>
    <row r="76" spans="1:4" x14ac:dyDescent="0.3">
      <c r="A76" s="2" t="s">
        <v>1</v>
      </c>
      <c r="B76" s="15">
        <v>43253</v>
      </c>
      <c r="C76" s="5">
        <v>0.65872685185185187</v>
      </c>
      <c r="D76" s="2"/>
    </row>
    <row r="77" spans="1:4" x14ac:dyDescent="0.3">
      <c r="A77" s="2" t="s">
        <v>0</v>
      </c>
      <c r="B77" s="15">
        <v>43235</v>
      </c>
      <c r="C77" s="5">
        <v>0.35631944444444441</v>
      </c>
      <c r="D77" s="2"/>
    </row>
    <row r="78" spans="1:4" x14ac:dyDescent="0.3">
      <c r="A78" s="2" t="s">
        <v>1</v>
      </c>
      <c r="B78" s="15">
        <v>43230</v>
      </c>
      <c r="C78" s="5">
        <v>0.38369212962962962</v>
      </c>
      <c r="D78" s="2"/>
    </row>
    <row r="79" spans="1:4" x14ac:dyDescent="0.3">
      <c r="A79" s="2" t="s">
        <v>1</v>
      </c>
      <c r="B79" s="15">
        <v>43229</v>
      </c>
      <c r="C79" s="5">
        <v>0.27211805555555557</v>
      </c>
      <c r="D79" s="2"/>
    </row>
    <row r="80" spans="1:4" x14ac:dyDescent="0.3">
      <c r="A80" s="2" t="s">
        <v>1</v>
      </c>
      <c r="B80" s="15">
        <v>43228</v>
      </c>
      <c r="C80" s="5">
        <v>0.80495370370370367</v>
      </c>
      <c r="D80" s="2"/>
    </row>
    <row r="81" spans="1:4" x14ac:dyDescent="0.3">
      <c r="A81" s="2" t="s">
        <v>1</v>
      </c>
      <c r="B81" s="15">
        <v>43228</v>
      </c>
      <c r="C81" s="5">
        <v>0.80494212962962963</v>
      </c>
      <c r="D81" s="2"/>
    </row>
    <row r="82" spans="1:4" x14ac:dyDescent="0.3">
      <c r="A82" s="2" t="s">
        <v>1</v>
      </c>
      <c r="B82" s="15">
        <v>43228</v>
      </c>
      <c r="C82" s="5">
        <v>0.69284722222222228</v>
      </c>
      <c r="D82" s="2"/>
    </row>
    <row r="83" spans="1:4" x14ac:dyDescent="0.3">
      <c r="A83" s="2" t="s">
        <v>1</v>
      </c>
      <c r="B83" s="15">
        <v>43212</v>
      </c>
      <c r="C83" s="5">
        <v>0.54836805555555557</v>
      </c>
      <c r="D83" s="2"/>
    </row>
    <row r="84" spans="1:4" x14ac:dyDescent="0.3">
      <c r="A84" s="2" t="s">
        <v>1</v>
      </c>
      <c r="B84" s="15">
        <v>43212</v>
      </c>
      <c r="C84" s="5">
        <v>0.54835648148148153</v>
      </c>
      <c r="D84" s="2"/>
    </row>
    <row r="85" spans="1:4" x14ac:dyDescent="0.3">
      <c r="A85" s="2" t="s">
        <v>1</v>
      </c>
      <c r="B85" s="15">
        <v>43212</v>
      </c>
      <c r="C85" s="5">
        <v>0.54834490740740738</v>
      </c>
      <c r="D85" s="2"/>
    </row>
    <row r="86" spans="1:4" x14ac:dyDescent="0.3">
      <c r="A86" s="2" t="s">
        <v>1</v>
      </c>
      <c r="B86" s="15">
        <v>43212</v>
      </c>
      <c r="C86" s="5">
        <v>0.54832175925925919</v>
      </c>
      <c r="D86" s="2"/>
    </row>
    <row r="87" spans="1:4" x14ac:dyDescent="0.3">
      <c r="A87" s="2" t="s">
        <v>1</v>
      </c>
      <c r="B87" s="15">
        <v>43212</v>
      </c>
      <c r="C87" s="5">
        <v>0.43662037037037038</v>
      </c>
      <c r="D87" s="2"/>
    </row>
    <row r="88" spans="1:4" x14ac:dyDescent="0.3">
      <c r="A88" s="2" t="s">
        <v>0</v>
      </c>
      <c r="B88" s="15">
        <v>43195</v>
      </c>
      <c r="C88" s="5">
        <v>0.35228009259259263</v>
      </c>
      <c r="D88" s="2"/>
    </row>
    <row r="89" spans="1:4" x14ac:dyDescent="0.3">
      <c r="A89" s="2" t="s">
        <v>1</v>
      </c>
      <c r="B89" s="15">
        <v>43195</v>
      </c>
      <c r="C89" s="5">
        <v>0.5723611111111111</v>
      </c>
      <c r="D89" s="2"/>
    </row>
    <row r="90" spans="1:4" x14ac:dyDescent="0.3">
      <c r="A90" s="2" t="s">
        <v>1</v>
      </c>
      <c r="B90" s="15">
        <v>43195</v>
      </c>
      <c r="C90" s="5">
        <v>0.57229166666666664</v>
      </c>
      <c r="D90" s="2"/>
    </row>
    <row r="91" spans="1:4" x14ac:dyDescent="0.3">
      <c r="A91" s="2" t="s">
        <v>1</v>
      </c>
      <c r="B91" s="15">
        <v>43193</v>
      </c>
      <c r="C91" s="5">
        <v>0.24523148148148147</v>
      </c>
      <c r="D91" s="2"/>
    </row>
    <row r="92" spans="1:4" x14ac:dyDescent="0.3">
      <c r="A92" s="2" t="s">
        <v>1</v>
      </c>
      <c r="B92" s="15">
        <v>43192</v>
      </c>
      <c r="C92" s="5">
        <v>0.61863425925925919</v>
      </c>
      <c r="D92" s="2"/>
    </row>
    <row r="93" spans="1:4" x14ac:dyDescent="0.3">
      <c r="A93" s="2" t="s">
        <v>1</v>
      </c>
      <c r="B93" s="15">
        <v>43191</v>
      </c>
      <c r="C93" s="5">
        <v>0.64826388888888886</v>
      </c>
      <c r="D93" s="2"/>
    </row>
    <row r="94" spans="1:4" x14ac:dyDescent="0.3">
      <c r="A94" s="2" t="s">
        <v>0</v>
      </c>
      <c r="B94" s="15">
        <v>43163</v>
      </c>
      <c r="C94" s="5">
        <v>0.29994212962962963</v>
      </c>
      <c r="D94" s="2"/>
    </row>
    <row r="95" spans="1:4" x14ac:dyDescent="0.3">
      <c r="A95" s="2" t="s">
        <v>1</v>
      </c>
      <c r="B95" s="15">
        <v>43163</v>
      </c>
      <c r="C95" s="5">
        <v>0.68019675925925915</v>
      </c>
      <c r="D95" s="2"/>
    </row>
    <row r="96" spans="1:4" x14ac:dyDescent="0.3">
      <c r="A96" s="2" t="s">
        <v>1</v>
      </c>
      <c r="B96" s="15">
        <v>43163</v>
      </c>
      <c r="C96" s="5">
        <v>0.68017361111111108</v>
      </c>
      <c r="D96" s="2"/>
    </row>
    <row r="97" spans="1:4" x14ac:dyDescent="0.3">
      <c r="A97" s="2" t="s">
        <v>0</v>
      </c>
      <c r="B97" s="15">
        <v>43159</v>
      </c>
      <c r="C97" s="5">
        <v>0.87104166666666671</v>
      </c>
      <c r="D97" s="2"/>
    </row>
    <row r="98" spans="1:4" x14ac:dyDescent="0.3">
      <c r="A98" s="2" t="s">
        <v>1</v>
      </c>
      <c r="B98" s="15">
        <v>43151</v>
      </c>
      <c r="C98" s="5">
        <v>0.73553240740740744</v>
      </c>
      <c r="D98" s="2"/>
    </row>
    <row r="99" spans="1:4" x14ac:dyDescent="0.3">
      <c r="A99" s="2" t="s">
        <v>1</v>
      </c>
      <c r="B99" s="15">
        <v>43149</v>
      </c>
      <c r="C99" s="5">
        <v>0.4065509259259259</v>
      </c>
      <c r="D99" s="2"/>
    </row>
    <row r="100" spans="1:4" x14ac:dyDescent="0.3">
      <c r="A100" s="2" t="s">
        <v>0</v>
      </c>
      <c r="B100" s="15">
        <v>43148</v>
      </c>
      <c r="C100" s="5">
        <v>0.72346064814814814</v>
      </c>
      <c r="D100" s="2"/>
    </row>
    <row r="101" spans="1:4" x14ac:dyDescent="0.3">
      <c r="A101" s="2" t="s">
        <v>1</v>
      </c>
      <c r="B101" s="15">
        <v>43148</v>
      </c>
      <c r="C101" s="5">
        <v>0.85704861111111119</v>
      </c>
      <c r="D101" s="2"/>
    </row>
    <row r="102" spans="1:4" x14ac:dyDescent="0.3">
      <c r="A102" s="2" t="s">
        <v>1</v>
      </c>
      <c r="B102" s="15">
        <v>43148</v>
      </c>
      <c r="C102" s="5">
        <v>0.72827546296296297</v>
      </c>
      <c r="D102" s="2"/>
    </row>
    <row r="103" spans="1:4" x14ac:dyDescent="0.3">
      <c r="A103" s="2" t="s">
        <v>1</v>
      </c>
      <c r="B103" s="15">
        <v>43148</v>
      </c>
      <c r="C103" s="5">
        <v>0.72825231481481489</v>
      </c>
      <c r="D103" s="2"/>
    </row>
    <row r="104" spans="1:4" x14ac:dyDescent="0.3">
      <c r="A104" s="2" t="s">
        <v>1</v>
      </c>
      <c r="B104" s="15">
        <v>43145</v>
      </c>
      <c r="C104" s="5">
        <v>0.81678240740740737</v>
      </c>
      <c r="D104" s="2"/>
    </row>
    <row r="105" spans="1:4" x14ac:dyDescent="0.3">
      <c r="A105" s="2" t="s">
        <v>1</v>
      </c>
      <c r="B105" s="15">
        <v>43145</v>
      </c>
      <c r="C105" s="5">
        <v>0.6290162037037037</v>
      </c>
      <c r="D105" s="2"/>
    </row>
    <row r="106" spans="1:4" x14ac:dyDescent="0.3">
      <c r="A106" s="2" t="s">
        <v>1</v>
      </c>
      <c r="B106" s="15">
        <v>43145</v>
      </c>
      <c r="C106" s="5">
        <v>0.62900462962962966</v>
      </c>
      <c r="D106" s="2"/>
    </row>
    <row r="107" spans="1:4" x14ac:dyDescent="0.3">
      <c r="A107" s="2" t="s">
        <v>1</v>
      </c>
      <c r="B107" s="15">
        <v>43145</v>
      </c>
      <c r="C107" s="5">
        <v>0.62899305555555551</v>
      </c>
      <c r="D107" s="2"/>
    </row>
    <row r="108" spans="1:4" x14ac:dyDescent="0.3">
      <c r="A108" s="2" t="s">
        <v>1</v>
      </c>
      <c r="B108" s="15">
        <v>43145</v>
      </c>
      <c r="C108" s="5">
        <v>0.62898148148148147</v>
      </c>
      <c r="D108" s="2"/>
    </row>
    <row r="109" spans="1:4" x14ac:dyDescent="0.3">
      <c r="A109" s="2" t="s">
        <v>1</v>
      </c>
      <c r="B109" s="15">
        <v>43132</v>
      </c>
      <c r="C109" s="5">
        <v>0.95834490740740741</v>
      </c>
      <c r="D109" s="2"/>
    </row>
    <row r="110" spans="1:4" x14ac:dyDescent="0.3">
      <c r="A110" s="2" t="s">
        <v>1</v>
      </c>
      <c r="B110" s="15">
        <v>43132</v>
      </c>
      <c r="C110" s="5">
        <v>0.95833333333333337</v>
      </c>
      <c r="D110" s="2"/>
    </row>
    <row r="111" spans="1:4" x14ac:dyDescent="0.3">
      <c r="A111" s="2" t="s">
        <v>1</v>
      </c>
      <c r="B111" s="15">
        <v>43132</v>
      </c>
      <c r="C111" s="5">
        <v>0.95832175925925922</v>
      </c>
      <c r="D111" s="2"/>
    </row>
    <row r="112" spans="1:4" x14ac:dyDescent="0.3">
      <c r="A112" s="2" t="s">
        <v>1</v>
      </c>
      <c r="B112" s="15">
        <v>43102</v>
      </c>
      <c r="C112" s="5">
        <v>0.76223379629629628</v>
      </c>
      <c r="D112" s="2"/>
    </row>
    <row r="113" spans="1:4" x14ac:dyDescent="0.3">
      <c r="A113" s="2" t="s">
        <v>1</v>
      </c>
      <c r="B113" s="15">
        <v>43102</v>
      </c>
      <c r="C113" s="5">
        <v>0.76222222222222225</v>
      </c>
      <c r="D113" s="2"/>
    </row>
    <row r="114" spans="1:4" x14ac:dyDescent="0.3">
      <c r="A114" s="2" t="s">
        <v>1</v>
      </c>
      <c r="B114" s="15">
        <v>43102</v>
      </c>
      <c r="C114" s="5">
        <v>0.62968750000000007</v>
      </c>
      <c r="D114" s="2"/>
    </row>
    <row r="115" spans="1:4" x14ac:dyDescent="0.3">
      <c r="A115" s="2" t="s">
        <v>1</v>
      </c>
      <c r="B115" s="15">
        <v>43102</v>
      </c>
      <c r="C115" s="5">
        <v>0.62967592592592592</v>
      </c>
      <c r="D115" s="2"/>
    </row>
    <row r="116" spans="1:4" x14ac:dyDescent="0.3">
      <c r="A116" s="2" t="s">
        <v>1</v>
      </c>
      <c r="B116" s="15">
        <v>43098</v>
      </c>
      <c r="C116" s="5">
        <v>0.79962962962962969</v>
      </c>
      <c r="D116" s="2"/>
    </row>
    <row r="117" spans="1:4" x14ac:dyDescent="0.3">
      <c r="A117" s="2" t="s">
        <v>1</v>
      </c>
      <c r="B117" s="15">
        <v>43098</v>
      </c>
      <c r="C117" s="5">
        <v>0.7996064814814815</v>
      </c>
      <c r="D117" s="2"/>
    </row>
    <row r="118" spans="1:4" x14ac:dyDescent="0.3">
      <c r="A118" s="2" t="s">
        <v>1</v>
      </c>
      <c r="B118" s="15">
        <v>43096</v>
      </c>
      <c r="C118" s="5">
        <v>0.55081018518518521</v>
      </c>
      <c r="D118" s="2"/>
    </row>
    <row r="119" spans="1:4" x14ac:dyDescent="0.3">
      <c r="A119" s="2" t="s">
        <v>1</v>
      </c>
      <c r="B119" s="15">
        <v>43094</v>
      </c>
      <c r="C119" s="5">
        <v>0.37265046296296295</v>
      </c>
      <c r="D119" s="2"/>
    </row>
    <row r="120" spans="1:4" x14ac:dyDescent="0.3">
      <c r="A120" s="2" t="s">
        <v>1</v>
      </c>
      <c r="B120" s="15">
        <v>43092</v>
      </c>
      <c r="C120" s="5">
        <v>0.45074074074074072</v>
      </c>
      <c r="D120" s="2"/>
    </row>
    <row r="121" spans="1:4" x14ac:dyDescent="0.3">
      <c r="A121" s="2" t="s">
        <v>1</v>
      </c>
      <c r="B121" s="15">
        <v>43091</v>
      </c>
      <c r="C121" s="5">
        <v>0.87193287037037026</v>
      </c>
      <c r="D121" s="2"/>
    </row>
    <row r="122" spans="1:4" x14ac:dyDescent="0.3">
      <c r="A122" s="2" t="s">
        <v>1</v>
      </c>
      <c r="B122" s="15">
        <v>43091</v>
      </c>
      <c r="C122" s="5">
        <v>0.48831018518518521</v>
      </c>
      <c r="D122" s="2"/>
    </row>
    <row r="123" spans="1:4" x14ac:dyDescent="0.3">
      <c r="A123" s="2" t="s">
        <v>1</v>
      </c>
      <c r="B123" s="15">
        <v>43086</v>
      </c>
      <c r="C123" s="5">
        <v>0.4997685185185185</v>
      </c>
      <c r="D123" s="2"/>
    </row>
    <row r="124" spans="1:4" x14ac:dyDescent="0.3">
      <c r="A124" s="2" t="s">
        <v>1</v>
      </c>
      <c r="B124" s="15">
        <v>43060</v>
      </c>
      <c r="C124" s="5">
        <v>0.68203703703703711</v>
      </c>
      <c r="D124" s="2"/>
    </row>
    <row r="125" spans="1:4" x14ac:dyDescent="0.3">
      <c r="A125" s="2" t="s">
        <v>1</v>
      </c>
      <c r="B125" s="15">
        <v>43060</v>
      </c>
      <c r="C125" s="5">
        <v>0.68202546296296296</v>
      </c>
      <c r="D125" s="2"/>
    </row>
    <row r="126" spans="1:4" x14ac:dyDescent="0.3">
      <c r="A126" s="2" t="s">
        <v>1</v>
      </c>
      <c r="B126" s="15">
        <v>43059</v>
      </c>
      <c r="C126" s="5">
        <v>0.65222222222222226</v>
      </c>
      <c r="D126" s="2"/>
    </row>
    <row r="127" spans="1:4" x14ac:dyDescent="0.3">
      <c r="A127" s="2" t="s">
        <v>1</v>
      </c>
      <c r="B127" s="15">
        <v>43052</v>
      </c>
      <c r="C127" s="5">
        <v>0.50758101851851845</v>
      </c>
      <c r="D127" s="2"/>
    </row>
    <row r="128" spans="1:4" x14ac:dyDescent="0.3">
      <c r="A128" s="2" t="s">
        <v>1</v>
      </c>
      <c r="B128" s="15">
        <v>43040</v>
      </c>
      <c r="C128" s="5">
        <v>0.85508101851851848</v>
      </c>
      <c r="D128" s="2"/>
    </row>
    <row r="129" spans="1:4" x14ac:dyDescent="0.3">
      <c r="A129" s="2" t="s">
        <v>1</v>
      </c>
      <c r="B129" s="15">
        <v>43039</v>
      </c>
      <c r="C129" s="5">
        <v>0.45637731481481486</v>
      </c>
      <c r="D129" s="2"/>
    </row>
    <row r="130" spans="1:4" x14ac:dyDescent="0.3">
      <c r="A130" s="2" t="s">
        <v>1</v>
      </c>
      <c r="B130" s="15">
        <v>43001</v>
      </c>
      <c r="C130" s="5">
        <v>0.55571759259259257</v>
      </c>
      <c r="D130" s="2"/>
    </row>
    <row r="131" spans="1:4" x14ac:dyDescent="0.3">
      <c r="A131" s="2" t="s">
        <v>1</v>
      </c>
      <c r="B131" s="15">
        <v>43001</v>
      </c>
      <c r="C131" s="5">
        <v>0.55570601851851853</v>
      </c>
      <c r="D131" s="2"/>
    </row>
    <row r="132" spans="1:4" x14ac:dyDescent="0.3">
      <c r="A132" s="2" t="s">
        <v>1</v>
      </c>
      <c r="B132" s="15">
        <v>42997</v>
      </c>
      <c r="C132" s="5">
        <v>0.73855324074074069</v>
      </c>
      <c r="D132" s="2"/>
    </row>
    <row r="133" spans="1:4" x14ac:dyDescent="0.3">
      <c r="A133" s="2" t="s">
        <v>1</v>
      </c>
      <c r="B133" s="15">
        <v>42990</v>
      </c>
      <c r="C133" s="5">
        <v>0.87611111111111117</v>
      </c>
      <c r="D133" s="2"/>
    </row>
    <row r="134" spans="1:4" x14ac:dyDescent="0.3">
      <c r="A134" s="2" t="s">
        <v>1</v>
      </c>
      <c r="B134" s="15">
        <v>42990</v>
      </c>
      <c r="C134" s="5">
        <v>0.67586805555555562</v>
      </c>
      <c r="D134" s="2"/>
    </row>
    <row r="135" spans="1:4" x14ac:dyDescent="0.3">
      <c r="A135" s="2" t="s">
        <v>1</v>
      </c>
      <c r="B135" s="15">
        <v>42983</v>
      </c>
      <c r="C135" s="5">
        <v>0.52149305555555558</v>
      </c>
      <c r="D135" s="2"/>
    </row>
    <row r="136" spans="1:4" x14ac:dyDescent="0.3">
      <c r="A136" s="2" t="s">
        <v>1</v>
      </c>
      <c r="B136" s="15">
        <v>42978</v>
      </c>
      <c r="C136" s="5">
        <v>0.76686342592592593</v>
      </c>
      <c r="D136" s="2"/>
    </row>
    <row r="137" spans="1:4" x14ac:dyDescent="0.3">
      <c r="A137" s="2" t="s">
        <v>1</v>
      </c>
      <c r="B137" s="15">
        <v>42978</v>
      </c>
      <c r="C137" s="5">
        <v>0.76681712962962967</v>
      </c>
      <c r="D137" s="2"/>
    </row>
    <row r="138" spans="1:4" x14ac:dyDescent="0.3">
      <c r="A138" s="2" t="s">
        <v>1</v>
      </c>
      <c r="B138" s="15">
        <v>42978</v>
      </c>
      <c r="C138" s="5">
        <v>0.76674768518518521</v>
      </c>
      <c r="D138" s="2"/>
    </row>
    <row r="139" spans="1:4" x14ac:dyDescent="0.3">
      <c r="A139" s="2" t="s">
        <v>1</v>
      </c>
      <c r="B139" s="15">
        <v>42970</v>
      </c>
      <c r="C139" s="5">
        <v>0.68670138888888888</v>
      </c>
      <c r="D139" s="2"/>
    </row>
    <row r="140" spans="1:4" x14ac:dyDescent="0.3">
      <c r="A140" s="2" t="s">
        <v>1</v>
      </c>
      <c r="B140" s="15">
        <v>42967</v>
      </c>
      <c r="C140" s="5">
        <v>0.79883101851851857</v>
      </c>
      <c r="D140" s="2"/>
    </row>
    <row r="141" spans="1:4" x14ac:dyDescent="0.3">
      <c r="A141" s="2" t="s">
        <v>1</v>
      </c>
      <c r="B141" s="15">
        <v>42967</v>
      </c>
      <c r="C141" s="5">
        <v>0.5626620370370371</v>
      </c>
      <c r="D141" s="2"/>
    </row>
    <row r="142" spans="1:4" x14ac:dyDescent="0.3">
      <c r="A142" s="2" t="s">
        <v>1</v>
      </c>
      <c r="B142" s="15">
        <v>42966</v>
      </c>
      <c r="C142" s="5">
        <v>0.36035879629629625</v>
      </c>
      <c r="D142" s="2"/>
    </row>
    <row r="143" spans="1:4" x14ac:dyDescent="0.3">
      <c r="A143" s="2" t="s">
        <v>1</v>
      </c>
      <c r="B143" s="15">
        <v>42966</v>
      </c>
      <c r="C143" s="5">
        <v>0.36032407407407407</v>
      </c>
      <c r="D143" s="2"/>
    </row>
    <row r="144" spans="1:4" x14ac:dyDescent="0.3">
      <c r="A144" s="2" t="s">
        <v>1</v>
      </c>
      <c r="B144" s="15">
        <v>42966</v>
      </c>
      <c r="C144" s="5">
        <v>0.36027777777777775</v>
      </c>
      <c r="D144" s="2"/>
    </row>
    <row r="145" spans="1:4" x14ac:dyDescent="0.3">
      <c r="A145" s="2" t="s">
        <v>1</v>
      </c>
      <c r="B145" s="15">
        <v>42966</v>
      </c>
      <c r="C145" s="5">
        <v>0.36024305555555558</v>
      </c>
      <c r="D145" s="2"/>
    </row>
    <row r="146" spans="1:4" x14ac:dyDescent="0.3">
      <c r="A146" s="2" t="s">
        <v>1</v>
      </c>
      <c r="B146" s="15">
        <v>42966</v>
      </c>
      <c r="C146" s="5">
        <v>0.3602083333333333</v>
      </c>
      <c r="D146" s="2"/>
    </row>
    <row r="147" spans="1:4" x14ac:dyDescent="0.3">
      <c r="A147" s="2" t="s">
        <v>1</v>
      </c>
      <c r="B147" s="15">
        <v>42962</v>
      </c>
      <c r="C147" s="5">
        <v>0.32072916666666668</v>
      </c>
      <c r="D147" s="2"/>
    </row>
    <row r="148" spans="1:4" x14ac:dyDescent="0.3">
      <c r="A148" s="2" t="s">
        <v>1</v>
      </c>
      <c r="B148" s="15">
        <v>42961</v>
      </c>
      <c r="C148" s="5">
        <v>0.6033680555555555</v>
      </c>
      <c r="D148" s="2"/>
    </row>
    <row r="149" spans="1:4" x14ac:dyDescent="0.3">
      <c r="A149" s="2" t="s">
        <v>1</v>
      </c>
      <c r="B149" s="15">
        <v>42960</v>
      </c>
      <c r="C149" s="5">
        <v>0.95894675925925921</v>
      </c>
      <c r="D149" s="2"/>
    </row>
    <row r="150" spans="1:4" x14ac:dyDescent="0.3">
      <c r="A150" s="2" t="s">
        <v>1</v>
      </c>
      <c r="B150" s="15">
        <v>42960</v>
      </c>
      <c r="C150" s="5">
        <v>0.95892361111111113</v>
      </c>
      <c r="D150" s="2"/>
    </row>
    <row r="151" spans="1:4" x14ac:dyDescent="0.3">
      <c r="A151" s="2" t="s">
        <v>1</v>
      </c>
      <c r="B151" s="15">
        <v>42960</v>
      </c>
      <c r="C151" s="5">
        <v>0.95888888888888879</v>
      </c>
      <c r="D151" s="2"/>
    </row>
    <row r="152" spans="1:4" x14ac:dyDescent="0.3">
      <c r="A152" s="2" t="s">
        <v>1</v>
      </c>
      <c r="B152" s="15">
        <v>42960</v>
      </c>
      <c r="C152" s="5">
        <v>0.84226851851851858</v>
      </c>
      <c r="D152" s="2"/>
    </row>
    <row r="153" spans="1:4" x14ac:dyDescent="0.3">
      <c r="A153" s="2" t="s">
        <v>1</v>
      </c>
      <c r="B153" s="15">
        <v>42960</v>
      </c>
      <c r="C153" s="5">
        <v>0.33627314814814818</v>
      </c>
      <c r="D153" s="2"/>
    </row>
    <row r="154" spans="1:4" x14ac:dyDescent="0.3">
      <c r="A154" s="2" t="s">
        <v>1</v>
      </c>
      <c r="B154" s="15">
        <v>42959</v>
      </c>
      <c r="C154" s="5">
        <v>0.72192129629629631</v>
      </c>
      <c r="D154" s="2"/>
    </row>
    <row r="155" spans="1:4" x14ac:dyDescent="0.3">
      <c r="A155" s="2" t="s">
        <v>1</v>
      </c>
      <c r="B155" s="15">
        <v>42959</v>
      </c>
      <c r="C155" s="5">
        <v>0.63359953703703698</v>
      </c>
      <c r="D155" s="2"/>
    </row>
    <row r="156" spans="1:4" x14ac:dyDescent="0.3">
      <c r="A156" s="2" t="s">
        <v>1</v>
      </c>
      <c r="B156" s="15">
        <v>42950</v>
      </c>
      <c r="C156" s="5">
        <v>0.80333333333333334</v>
      </c>
      <c r="D156" s="2"/>
    </row>
    <row r="157" spans="1:4" x14ac:dyDescent="0.3">
      <c r="A157" s="2" t="s">
        <v>3</v>
      </c>
      <c r="B157" s="15">
        <v>42947</v>
      </c>
      <c r="C157" s="5">
        <v>0.64915509259259252</v>
      </c>
      <c r="D157" s="2"/>
    </row>
    <row r="158" spans="1:4" x14ac:dyDescent="0.3">
      <c r="A158" s="2" t="s">
        <v>1</v>
      </c>
      <c r="B158" s="15">
        <v>42941</v>
      </c>
      <c r="C158" s="5">
        <v>0.35364583333333338</v>
      </c>
      <c r="D158" s="2"/>
    </row>
    <row r="159" spans="1:4" x14ac:dyDescent="0.3">
      <c r="A159" s="2" t="s">
        <v>1</v>
      </c>
      <c r="B159" s="15">
        <v>42940</v>
      </c>
      <c r="C159" s="5">
        <v>0.65824074074074079</v>
      </c>
      <c r="D159" s="2"/>
    </row>
    <row r="160" spans="1:4" x14ac:dyDescent="0.3">
      <c r="A160" s="2" t="s">
        <v>1</v>
      </c>
      <c r="B160" s="15">
        <v>42939</v>
      </c>
      <c r="C160" s="5">
        <v>0.90516203703703713</v>
      </c>
      <c r="D160" s="2"/>
    </row>
    <row r="161" spans="1:4" x14ac:dyDescent="0.3">
      <c r="A161" s="2" t="s">
        <v>1</v>
      </c>
      <c r="B161" s="15">
        <v>42935</v>
      </c>
      <c r="C161" s="5">
        <v>0.86447916666666658</v>
      </c>
      <c r="D161" s="2"/>
    </row>
    <row r="162" spans="1:4" x14ac:dyDescent="0.3">
      <c r="A162" s="2" t="s">
        <v>1</v>
      </c>
      <c r="B162" s="15">
        <v>42935</v>
      </c>
      <c r="C162" s="5">
        <v>0.34153935185185186</v>
      </c>
      <c r="D162" s="2"/>
    </row>
    <row r="163" spans="1:4" x14ac:dyDescent="0.3">
      <c r="A163" s="2" t="s">
        <v>1</v>
      </c>
      <c r="B163" s="15">
        <v>42934</v>
      </c>
      <c r="C163" s="5">
        <v>0.90848379629629628</v>
      </c>
      <c r="D163" s="2"/>
    </row>
    <row r="164" spans="1:4" x14ac:dyDescent="0.3">
      <c r="A164" s="2" t="s">
        <v>1</v>
      </c>
      <c r="B164" s="15">
        <v>42932</v>
      </c>
      <c r="C164" s="5">
        <v>0.6337962962962963</v>
      </c>
      <c r="D164" s="2"/>
    </row>
    <row r="165" spans="1:4" x14ac:dyDescent="0.3">
      <c r="A165" s="2" t="s">
        <v>1</v>
      </c>
      <c r="B165" s="15">
        <v>42931</v>
      </c>
      <c r="C165" s="5">
        <v>0.50082175925925931</v>
      </c>
      <c r="D165" s="2"/>
    </row>
    <row r="166" spans="1:4" x14ac:dyDescent="0.3">
      <c r="A166" s="2" t="s">
        <v>1</v>
      </c>
      <c r="B166" s="15">
        <v>42928</v>
      </c>
      <c r="C166" s="5">
        <v>0.49025462962962968</v>
      </c>
      <c r="D166" s="2"/>
    </row>
    <row r="167" spans="1:4" x14ac:dyDescent="0.3">
      <c r="A167" s="2" t="s">
        <v>1</v>
      </c>
      <c r="B167" s="15">
        <v>42918</v>
      </c>
      <c r="C167" s="5">
        <v>0.59305555555555556</v>
      </c>
      <c r="D167" s="2"/>
    </row>
    <row r="168" spans="1:4" x14ac:dyDescent="0.3">
      <c r="A168" s="2" t="s">
        <v>1</v>
      </c>
      <c r="B168" s="15">
        <v>42917</v>
      </c>
      <c r="C168" s="5">
        <v>0.85883101851851851</v>
      </c>
      <c r="D168" s="2"/>
    </row>
    <row r="169" spans="1:4" x14ac:dyDescent="0.3">
      <c r="A169" s="2" t="s">
        <v>1</v>
      </c>
      <c r="B169" s="15">
        <v>42916</v>
      </c>
      <c r="C169" s="5">
        <v>0.47021990740740738</v>
      </c>
      <c r="D169" s="2"/>
    </row>
    <row r="170" spans="1:4" x14ac:dyDescent="0.3">
      <c r="A170" s="2" t="s">
        <v>1</v>
      </c>
      <c r="B170" s="15">
        <v>42915</v>
      </c>
      <c r="C170" s="5">
        <v>0.65946759259259258</v>
      </c>
      <c r="D170" s="2"/>
    </row>
    <row r="171" spans="1:4" x14ac:dyDescent="0.3">
      <c r="A171" s="2" t="s">
        <v>1</v>
      </c>
      <c r="B171" s="15">
        <v>42913</v>
      </c>
      <c r="C171" s="5">
        <v>0.74642361111111111</v>
      </c>
      <c r="D171" s="2"/>
    </row>
    <row r="172" spans="1:4" x14ac:dyDescent="0.3">
      <c r="A172" s="2" t="s">
        <v>1</v>
      </c>
      <c r="B172" s="15">
        <v>42912</v>
      </c>
      <c r="C172" s="5">
        <v>0.91410879629629627</v>
      </c>
      <c r="D172" s="2"/>
    </row>
    <row r="173" spans="1:4" x14ac:dyDescent="0.3">
      <c r="A173" s="2" t="s">
        <v>1</v>
      </c>
      <c r="B173" s="15">
        <v>42895</v>
      </c>
      <c r="C173" s="5">
        <v>0.55371527777777774</v>
      </c>
      <c r="D173" s="2"/>
    </row>
    <row r="174" spans="1:4" x14ac:dyDescent="0.3">
      <c r="A174" s="2" t="s">
        <v>1</v>
      </c>
      <c r="B174" s="15">
        <v>42894</v>
      </c>
      <c r="C174" s="5">
        <v>0.84392361111111114</v>
      </c>
      <c r="D174" s="2"/>
    </row>
    <row r="175" spans="1:4" x14ac:dyDescent="0.3">
      <c r="A175" s="2" t="s">
        <v>1</v>
      </c>
      <c r="B175" s="15">
        <v>42884</v>
      </c>
      <c r="C175" s="5">
        <v>0.45394675925925926</v>
      </c>
      <c r="D175" s="2"/>
    </row>
    <row r="176" spans="1:4" x14ac:dyDescent="0.3">
      <c r="A176" s="2" t="s">
        <v>1</v>
      </c>
      <c r="B176" s="15">
        <v>42858</v>
      </c>
      <c r="C176" s="5">
        <v>0.66342592592592597</v>
      </c>
      <c r="D176" s="2"/>
    </row>
    <row r="177" spans="1:4" x14ac:dyDescent="0.3">
      <c r="A177" s="2" t="s">
        <v>1</v>
      </c>
      <c r="B177" s="15">
        <v>42857</v>
      </c>
      <c r="C177" s="5">
        <v>0.4950694444444444</v>
      </c>
      <c r="D177" s="2"/>
    </row>
    <row r="178" spans="1:4" x14ac:dyDescent="0.3">
      <c r="A178" s="2" t="s">
        <v>1</v>
      </c>
      <c r="B178" s="15">
        <v>42854</v>
      </c>
      <c r="C178" s="5">
        <v>0.91361111111111104</v>
      </c>
      <c r="D178" s="2"/>
    </row>
    <row r="179" spans="1:4" x14ac:dyDescent="0.3">
      <c r="A179" s="2" t="s">
        <v>1</v>
      </c>
      <c r="B179" s="15">
        <v>42854</v>
      </c>
      <c r="C179" s="5">
        <v>0.69444444444444453</v>
      </c>
      <c r="D179" s="2"/>
    </row>
    <row r="180" spans="1:4" x14ac:dyDescent="0.3">
      <c r="A180" s="2" t="s">
        <v>1</v>
      </c>
      <c r="B180" s="15">
        <v>42853</v>
      </c>
      <c r="C180" s="5">
        <v>0.76901620370370372</v>
      </c>
      <c r="D180" s="2"/>
    </row>
    <row r="181" spans="1:4" x14ac:dyDescent="0.3">
      <c r="A181" s="2" t="s">
        <v>1</v>
      </c>
      <c r="B181" s="15">
        <v>42853</v>
      </c>
      <c r="C181" s="5">
        <v>0.36414351851851851</v>
      </c>
      <c r="D181" s="2"/>
    </row>
    <row r="182" spans="1:4" x14ac:dyDescent="0.3">
      <c r="A182" s="2" t="s">
        <v>1</v>
      </c>
      <c r="B182" s="15">
        <v>42841</v>
      </c>
      <c r="C182" s="5">
        <v>0.62737268518518519</v>
      </c>
      <c r="D182" s="2"/>
    </row>
    <row r="183" spans="1:4" x14ac:dyDescent="0.3">
      <c r="A183" s="2" t="s">
        <v>1</v>
      </c>
      <c r="B183" s="15">
        <v>42841</v>
      </c>
      <c r="C183" s="5">
        <v>0.34944444444444445</v>
      </c>
      <c r="D183" s="2"/>
    </row>
    <row r="184" spans="1:4" x14ac:dyDescent="0.3">
      <c r="A184" s="2" t="s">
        <v>1</v>
      </c>
      <c r="B184" s="15">
        <v>42834</v>
      </c>
      <c r="C184" s="5">
        <v>0.48424768518518518</v>
      </c>
      <c r="D184" s="2"/>
    </row>
    <row r="185" spans="1:4" x14ac:dyDescent="0.3">
      <c r="A185" s="2" t="s">
        <v>1</v>
      </c>
      <c r="B185" s="15">
        <v>42826</v>
      </c>
      <c r="C185" s="5">
        <v>0.71418981481481481</v>
      </c>
      <c r="D185" s="2"/>
    </row>
    <row r="186" spans="1:4" x14ac:dyDescent="0.3">
      <c r="A186" s="2" t="s">
        <v>1</v>
      </c>
      <c r="B186" s="15">
        <v>42824</v>
      </c>
      <c r="C186" s="5">
        <v>0.83907407407407408</v>
      </c>
      <c r="D186" s="2"/>
    </row>
    <row r="187" spans="1:4" x14ac:dyDescent="0.3">
      <c r="A187" s="2" t="s">
        <v>1</v>
      </c>
      <c r="B187" s="15">
        <v>42824</v>
      </c>
      <c r="C187" s="5">
        <v>0.83905092592592589</v>
      </c>
      <c r="D187" s="2"/>
    </row>
    <row r="188" spans="1:4" x14ac:dyDescent="0.3">
      <c r="A188" s="2" t="s">
        <v>1</v>
      </c>
      <c r="B188" s="15">
        <v>42803</v>
      </c>
      <c r="C188" s="5">
        <v>0.89112268518518523</v>
      </c>
      <c r="D188" s="2"/>
    </row>
    <row r="189" spans="1:4" x14ac:dyDescent="0.3">
      <c r="A189" s="2" t="s">
        <v>1</v>
      </c>
      <c r="B189" s="15">
        <v>42803</v>
      </c>
      <c r="C189" s="5">
        <v>4.5370370370370365E-3</v>
      </c>
      <c r="D189" s="2"/>
    </row>
    <row r="190" spans="1:4" x14ac:dyDescent="0.3">
      <c r="A190" s="2" t="s">
        <v>1</v>
      </c>
      <c r="B190" s="15">
        <v>42802</v>
      </c>
      <c r="C190" s="5">
        <v>0.64333333333333331</v>
      </c>
      <c r="D190" s="2"/>
    </row>
    <row r="191" spans="1:4" x14ac:dyDescent="0.3">
      <c r="A191" s="2" t="s">
        <v>1</v>
      </c>
      <c r="B191" s="15">
        <v>42776</v>
      </c>
      <c r="C191" s="5">
        <v>0.8297106481481481</v>
      </c>
      <c r="D191" s="2"/>
    </row>
    <row r="192" spans="1:4" x14ac:dyDescent="0.3">
      <c r="A192" s="2" t="s">
        <v>1</v>
      </c>
      <c r="B192" s="15">
        <v>42773</v>
      </c>
      <c r="C192" s="5">
        <v>0.91829861111111111</v>
      </c>
      <c r="D192" s="2"/>
    </row>
    <row r="193" spans="1:4" x14ac:dyDescent="0.3">
      <c r="A193" s="2" t="s">
        <v>1</v>
      </c>
      <c r="B193" s="15">
        <v>42757</v>
      </c>
      <c r="C193" s="5">
        <v>0.5339814814814815</v>
      </c>
      <c r="D193" s="2"/>
    </row>
    <row r="194" spans="1:4" x14ac:dyDescent="0.3">
      <c r="A194" s="2" t="s">
        <v>1</v>
      </c>
      <c r="B194" s="15">
        <v>42742</v>
      </c>
      <c r="C194" s="5">
        <v>0.89670138888888884</v>
      </c>
      <c r="D194" s="2"/>
    </row>
    <row r="195" spans="1:4" x14ac:dyDescent="0.3">
      <c r="A195" s="2" t="s">
        <v>1</v>
      </c>
      <c r="B195" s="15">
        <v>42741</v>
      </c>
      <c r="C195" s="5">
        <v>0.70201388888888883</v>
      </c>
      <c r="D195" s="2"/>
    </row>
    <row r="196" spans="1:4" x14ac:dyDescent="0.3">
      <c r="A196" s="2" t="s">
        <v>1</v>
      </c>
      <c r="B196" s="15">
        <v>42740</v>
      </c>
      <c r="C196" s="5">
        <v>0.9786921296296297</v>
      </c>
      <c r="D196" s="2"/>
    </row>
    <row r="197" spans="1:4" x14ac:dyDescent="0.3">
      <c r="A197" s="2" t="s">
        <v>1</v>
      </c>
      <c r="B197" s="15">
        <v>42739</v>
      </c>
      <c r="C197" s="5">
        <v>0.99671296296296286</v>
      </c>
      <c r="D197" s="2"/>
    </row>
    <row r="198" spans="1:4" x14ac:dyDescent="0.3">
      <c r="A198" s="2" t="s">
        <v>1</v>
      </c>
      <c r="B198" s="15">
        <v>42739</v>
      </c>
      <c r="C198" s="5">
        <v>0.6912152777777778</v>
      </c>
      <c r="D198" s="2"/>
    </row>
    <row r="199" spans="1:4" x14ac:dyDescent="0.3">
      <c r="A199" s="2" t="s">
        <v>1</v>
      </c>
      <c r="B199" s="15">
        <v>42738</v>
      </c>
      <c r="C199" s="5">
        <v>0.99224537037037042</v>
      </c>
      <c r="D199" s="2"/>
    </row>
    <row r="200" spans="1:4" x14ac:dyDescent="0.3">
      <c r="A200" s="2" t="s">
        <v>1</v>
      </c>
      <c r="B200" s="15">
        <v>42736</v>
      </c>
      <c r="C200" s="5">
        <v>0.59519675925925919</v>
      </c>
      <c r="D200" s="2"/>
    </row>
    <row r="201" spans="1:4" x14ac:dyDescent="0.3">
      <c r="A201" s="2" t="s">
        <v>1</v>
      </c>
      <c r="B201" s="15">
        <v>42731</v>
      </c>
      <c r="C201" s="5">
        <v>9.1550925925925931E-3</v>
      </c>
      <c r="D201" s="2"/>
    </row>
    <row r="202" spans="1:4" x14ac:dyDescent="0.3">
      <c r="A202" s="2" t="s">
        <v>1</v>
      </c>
      <c r="B202" s="15">
        <v>42709</v>
      </c>
      <c r="C202" s="5">
        <v>0.85890046296296296</v>
      </c>
      <c r="D202" s="2"/>
    </row>
    <row r="203" spans="1:4" x14ac:dyDescent="0.3">
      <c r="A203" s="2" t="s">
        <v>1</v>
      </c>
      <c r="B203" s="15">
        <v>42709</v>
      </c>
      <c r="C203" s="5">
        <v>0.38309027777777777</v>
      </c>
      <c r="D203" s="2"/>
    </row>
    <row r="204" spans="1:4" x14ac:dyDescent="0.3">
      <c r="A204" s="2" t="s">
        <v>1</v>
      </c>
      <c r="B204" s="15">
        <v>42708</v>
      </c>
      <c r="C204" s="5">
        <v>0.75534722222222228</v>
      </c>
      <c r="D204" s="2"/>
    </row>
    <row r="205" spans="1:4" x14ac:dyDescent="0.3">
      <c r="A205" s="2" t="s">
        <v>1</v>
      </c>
      <c r="B205" s="15">
        <v>42708</v>
      </c>
      <c r="C205" s="5">
        <v>0.6702662037037036</v>
      </c>
      <c r="D205" s="2"/>
    </row>
    <row r="206" spans="1:4" x14ac:dyDescent="0.3">
      <c r="A206" s="2" t="s">
        <v>1</v>
      </c>
      <c r="B206" s="15">
        <v>42708</v>
      </c>
      <c r="C206" s="5">
        <v>0.57939814814814816</v>
      </c>
      <c r="D206" s="2"/>
    </row>
    <row r="207" spans="1:4" x14ac:dyDescent="0.3">
      <c r="A207" s="2" t="s">
        <v>1</v>
      </c>
      <c r="B207" s="15">
        <v>42700</v>
      </c>
      <c r="C207" s="5">
        <v>0.97550925925925924</v>
      </c>
      <c r="D207" s="2"/>
    </row>
    <row r="208" spans="1:4" x14ac:dyDescent="0.3">
      <c r="A208" s="2" t="s">
        <v>1</v>
      </c>
      <c r="B208" s="15">
        <v>42673</v>
      </c>
      <c r="C208" s="5">
        <v>0.90449074074074076</v>
      </c>
      <c r="D208" s="2"/>
    </row>
    <row r="209" spans="1:4" x14ac:dyDescent="0.3">
      <c r="A209" s="2" t="s">
        <v>1</v>
      </c>
      <c r="B209" s="15">
        <v>42672</v>
      </c>
      <c r="C209" s="5">
        <v>0.96373842592592596</v>
      </c>
      <c r="D209" s="2"/>
    </row>
    <row r="210" spans="1:4" x14ac:dyDescent="0.3">
      <c r="A210" s="2" t="s">
        <v>1</v>
      </c>
      <c r="B210" s="15">
        <v>42637</v>
      </c>
      <c r="C210" s="5">
        <v>0.93336805555555558</v>
      </c>
      <c r="D210" s="2"/>
    </row>
    <row r="211" spans="1:4" x14ac:dyDescent="0.3">
      <c r="A211" s="2" t="s">
        <v>1</v>
      </c>
      <c r="B211" s="15">
        <v>42637</v>
      </c>
      <c r="C211" s="5">
        <v>0.93230324074074078</v>
      </c>
      <c r="D211" s="2"/>
    </row>
    <row r="212" spans="1:4" x14ac:dyDescent="0.3">
      <c r="A212" s="2" t="s">
        <v>1</v>
      </c>
      <c r="B212" s="15">
        <v>42637</v>
      </c>
      <c r="C212" s="5">
        <v>0.92980324074074072</v>
      </c>
      <c r="D212" s="2"/>
    </row>
    <row r="213" spans="1:4" x14ac:dyDescent="0.3">
      <c r="A213" s="2" t="s">
        <v>1</v>
      </c>
      <c r="B213" s="15">
        <v>42616</v>
      </c>
      <c r="C213" s="5">
        <v>0.97341435185185177</v>
      </c>
      <c r="D213" s="2"/>
    </row>
    <row r="214" spans="1:4" x14ac:dyDescent="0.3">
      <c r="A214" s="2" t="s">
        <v>1</v>
      </c>
      <c r="B214" s="15">
        <v>42613</v>
      </c>
      <c r="C214" s="5">
        <v>0.92607638888888888</v>
      </c>
      <c r="D214" s="2"/>
    </row>
    <row r="215" spans="1:4" x14ac:dyDescent="0.3">
      <c r="A215" s="2" t="s">
        <v>1</v>
      </c>
      <c r="B215" s="15">
        <v>42612</v>
      </c>
      <c r="C215" s="5">
        <v>0.38895833333333335</v>
      </c>
      <c r="D215" s="2"/>
    </row>
    <row r="216" spans="1:4" x14ac:dyDescent="0.3">
      <c r="A216" s="2" t="s">
        <v>1</v>
      </c>
      <c r="B216" s="15">
        <v>42611</v>
      </c>
      <c r="C216" s="5">
        <v>0.93686342592592586</v>
      </c>
      <c r="D216" s="2"/>
    </row>
    <row r="217" spans="1:4" x14ac:dyDescent="0.3">
      <c r="A217" s="2" t="s">
        <v>1</v>
      </c>
      <c r="B217" s="15">
        <v>42611</v>
      </c>
      <c r="C217" s="5">
        <v>0.93194444444444446</v>
      </c>
      <c r="D217" s="2"/>
    </row>
    <row r="218" spans="1:4" x14ac:dyDescent="0.3">
      <c r="A218" s="2" t="s">
        <v>1</v>
      </c>
      <c r="B218" s="15">
        <v>42608</v>
      </c>
      <c r="C218" s="5">
        <v>1.6400462962962964E-2</v>
      </c>
      <c r="D218" s="2"/>
    </row>
    <row r="219" spans="1:4" x14ac:dyDescent="0.3">
      <c r="A219" s="2" t="s">
        <v>1</v>
      </c>
      <c r="B219" s="15">
        <v>42607</v>
      </c>
      <c r="C219" s="5">
        <v>0.96813657407407405</v>
      </c>
      <c r="D219" s="2"/>
    </row>
    <row r="220" spans="1:4" x14ac:dyDescent="0.3">
      <c r="A220" s="2" t="s">
        <v>1</v>
      </c>
      <c r="B220" s="15">
        <v>42601</v>
      </c>
      <c r="C220" s="5">
        <v>0.93725694444444441</v>
      </c>
      <c r="D220" s="2"/>
    </row>
    <row r="221" spans="1:4" x14ac:dyDescent="0.3">
      <c r="A221" s="2" t="s">
        <v>1</v>
      </c>
      <c r="B221" s="15">
        <v>42601</v>
      </c>
      <c r="C221" s="5">
        <v>0.93327546296296304</v>
      </c>
      <c r="D221" s="2"/>
    </row>
    <row r="222" spans="1:4" x14ac:dyDescent="0.3">
      <c r="A222" s="2" t="s">
        <v>1</v>
      </c>
      <c r="B222" s="15">
        <v>42601</v>
      </c>
      <c r="C222" s="5">
        <v>0.92729166666666663</v>
      </c>
      <c r="D222" s="2"/>
    </row>
    <row r="223" spans="1:4" x14ac:dyDescent="0.3">
      <c r="A223" s="2" t="s">
        <v>1</v>
      </c>
      <c r="B223" s="15">
        <v>42600</v>
      </c>
      <c r="C223" s="5">
        <v>0.93234953703703705</v>
      </c>
      <c r="D223" s="2"/>
    </row>
    <row r="224" spans="1:4" x14ac:dyDescent="0.3">
      <c r="A224" s="2" t="s">
        <v>1</v>
      </c>
      <c r="B224" s="15">
        <v>42599</v>
      </c>
      <c r="C224" s="5">
        <v>0.92829861111111101</v>
      </c>
      <c r="D224" s="2"/>
    </row>
    <row r="225" spans="1:4" x14ac:dyDescent="0.3">
      <c r="A225" s="2" t="s">
        <v>1</v>
      </c>
      <c r="B225" s="15">
        <v>42595</v>
      </c>
      <c r="C225" s="5">
        <v>0.90141203703703709</v>
      </c>
      <c r="D225" s="2"/>
    </row>
    <row r="226" spans="1:4" x14ac:dyDescent="0.3">
      <c r="A226" s="2" t="s">
        <v>1</v>
      </c>
      <c r="B226" s="15">
        <v>42587</v>
      </c>
      <c r="C226" s="5">
        <v>0.96614583333333337</v>
      </c>
      <c r="D226" s="2"/>
    </row>
    <row r="227" spans="1:4" x14ac:dyDescent="0.3">
      <c r="A227" s="2" t="s">
        <v>1</v>
      </c>
      <c r="B227" s="15">
        <v>42587</v>
      </c>
      <c r="C227" s="5">
        <v>0.73249999999999993</v>
      </c>
      <c r="D227" s="2"/>
    </row>
    <row r="228" spans="1:4" x14ac:dyDescent="0.3">
      <c r="A228" s="2" t="s">
        <v>1</v>
      </c>
      <c r="B228" s="15">
        <v>42587</v>
      </c>
      <c r="C228" s="5">
        <v>0.28493055555555552</v>
      </c>
      <c r="D228" s="2"/>
    </row>
    <row r="229" spans="1:4" x14ac:dyDescent="0.3">
      <c r="A229" s="2" t="s">
        <v>1</v>
      </c>
      <c r="B229" s="15">
        <v>42586</v>
      </c>
      <c r="C229" s="5">
        <v>0.66120370370370374</v>
      </c>
      <c r="D229" s="2"/>
    </row>
    <row r="230" spans="1:4" x14ac:dyDescent="0.3">
      <c r="A230" s="2" t="s">
        <v>1</v>
      </c>
      <c r="B230" s="15">
        <v>42585</v>
      </c>
      <c r="C230" s="5">
        <v>0.63559027777777777</v>
      </c>
      <c r="D230" s="2"/>
    </row>
    <row r="231" spans="1:4" x14ac:dyDescent="0.3">
      <c r="A231" s="2" t="s">
        <v>1</v>
      </c>
      <c r="B231" s="15">
        <v>42585</v>
      </c>
      <c r="C231" s="5">
        <v>0.4223263888888889</v>
      </c>
      <c r="D231" s="2"/>
    </row>
    <row r="232" spans="1:4" x14ac:dyDescent="0.3">
      <c r="A232" s="2" t="s">
        <v>1</v>
      </c>
      <c r="B232" s="15">
        <v>42584</v>
      </c>
      <c r="C232" s="5">
        <v>0.93100694444444443</v>
      </c>
      <c r="D232" s="2"/>
    </row>
    <row r="233" spans="1:4" x14ac:dyDescent="0.3">
      <c r="A233" s="2" t="s">
        <v>1</v>
      </c>
      <c r="B233" s="15">
        <v>42583</v>
      </c>
      <c r="C233" s="5">
        <v>0.35031250000000003</v>
      </c>
      <c r="D233" s="2"/>
    </row>
    <row r="234" spans="1:4" x14ac:dyDescent="0.3">
      <c r="A234" s="2" t="s">
        <v>1</v>
      </c>
      <c r="B234" s="15">
        <v>42581</v>
      </c>
      <c r="C234" s="5">
        <v>0.54791666666666672</v>
      </c>
      <c r="D234" s="2"/>
    </row>
    <row r="235" spans="1:4" x14ac:dyDescent="0.3">
      <c r="A235" s="2" t="s">
        <v>1</v>
      </c>
      <c r="B235" s="15">
        <v>42577</v>
      </c>
      <c r="C235" s="5">
        <v>0.39685185185185184</v>
      </c>
      <c r="D235" s="2"/>
    </row>
    <row r="236" spans="1:4" x14ac:dyDescent="0.3">
      <c r="A236" s="2" t="s">
        <v>1</v>
      </c>
      <c r="B236" s="15">
        <v>42576</v>
      </c>
      <c r="C236" s="5">
        <v>0.58466435185185184</v>
      </c>
      <c r="D236" s="2"/>
    </row>
    <row r="237" spans="1:4" x14ac:dyDescent="0.3">
      <c r="A237" s="2" t="s">
        <v>1</v>
      </c>
      <c r="B237" s="15">
        <v>42575</v>
      </c>
      <c r="C237" s="5">
        <v>0.44443287037037038</v>
      </c>
      <c r="D237" s="2"/>
    </row>
    <row r="238" spans="1:4" x14ac:dyDescent="0.3">
      <c r="A238" s="2" t="s">
        <v>1</v>
      </c>
      <c r="B238" s="15">
        <v>42575</v>
      </c>
      <c r="C238" s="5">
        <v>0.44340277777777781</v>
      </c>
      <c r="D238" s="2"/>
    </row>
    <row r="239" spans="1:4" x14ac:dyDescent="0.3">
      <c r="A239" s="2" t="s">
        <v>1</v>
      </c>
      <c r="B239" s="15">
        <v>42562</v>
      </c>
      <c r="C239" s="5">
        <v>0.53291666666666659</v>
      </c>
      <c r="D239" s="2"/>
    </row>
    <row r="240" spans="1:4" x14ac:dyDescent="0.3">
      <c r="A240" s="2" t="s">
        <v>1</v>
      </c>
      <c r="B240" s="15">
        <v>42554</v>
      </c>
      <c r="C240" s="5">
        <v>0.75118055555555552</v>
      </c>
      <c r="D240" s="2"/>
    </row>
    <row r="241" spans="1:4" x14ac:dyDescent="0.3">
      <c r="A241" s="2" t="s">
        <v>1</v>
      </c>
      <c r="B241" s="15">
        <v>42547</v>
      </c>
      <c r="C241" s="5">
        <v>0.55064814814814811</v>
      </c>
      <c r="D241" s="2"/>
    </row>
    <row r="242" spans="1:4" x14ac:dyDescent="0.3">
      <c r="A242" s="2" t="s">
        <v>1</v>
      </c>
      <c r="B242" s="15">
        <v>42547</v>
      </c>
      <c r="C242" s="5">
        <v>0.54646990740740742</v>
      </c>
      <c r="D242" s="2"/>
    </row>
    <row r="243" spans="1:4" x14ac:dyDescent="0.3">
      <c r="A243" s="2" t="s">
        <v>1</v>
      </c>
      <c r="B243" s="15">
        <v>42524</v>
      </c>
      <c r="C243" s="5">
        <v>0.75872685185185185</v>
      </c>
      <c r="D243" s="2"/>
    </row>
    <row r="244" spans="1:4" x14ac:dyDescent="0.3">
      <c r="A244" s="2" t="s">
        <v>1</v>
      </c>
      <c r="B244" s="15">
        <v>42463</v>
      </c>
      <c r="C244" s="5">
        <v>0.30599537037037033</v>
      </c>
      <c r="D244" s="2"/>
    </row>
    <row r="245" spans="1:4" x14ac:dyDescent="0.3">
      <c r="A245" s="2" t="s">
        <v>1</v>
      </c>
      <c r="B245" s="15">
        <v>42431</v>
      </c>
      <c r="C245" s="5">
        <v>0.69142361111111106</v>
      </c>
      <c r="D245" s="2"/>
    </row>
    <row r="246" spans="1:4" x14ac:dyDescent="0.3">
      <c r="A246" s="2" t="s">
        <v>1</v>
      </c>
      <c r="B246" s="15">
        <v>42421</v>
      </c>
      <c r="C246" s="5">
        <v>0.37915509259259261</v>
      </c>
      <c r="D246" s="2"/>
    </row>
    <row r="247" spans="1:4" x14ac:dyDescent="0.3">
      <c r="A247" s="2" t="s">
        <v>1</v>
      </c>
      <c r="B247" s="15">
        <v>42420</v>
      </c>
      <c r="C247" s="5">
        <v>0.75890046296296287</v>
      </c>
      <c r="D247" s="2"/>
    </row>
    <row r="248" spans="1:4" x14ac:dyDescent="0.3">
      <c r="A248" s="2" t="s">
        <v>1</v>
      </c>
      <c r="B248" s="15">
        <v>42419</v>
      </c>
      <c r="C248" s="5">
        <v>0.60982638888888896</v>
      </c>
      <c r="D248" s="2"/>
    </row>
    <row r="249" spans="1:4" x14ac:dyDescent="0.3">
      <c r="A249" s="2" t="s">
        <v>1</v>
      </c>
      <c r="B249" s="15">
        <v>42416</v>
      </c>
      <c r="C249" s="5">
        <v>3.4027777777777784E-3</v>
      </c>
      <c r="D249" s="2"/>
    </row>
    <row r="250" spans="1:4" x14ac:dyDescent="0.3">
      <c r="A250" s="2" t="s">
        <v>1</v>
      </c>
      <c r="B250" s="15">
        <v>42414</v>
      </c>
      <c r="C250" s="5">
        <v>0.5499074074074074</v>
      </c>
      <c r="D250" s="2"/>
    </row>
    <row r="251" spans="1:4" x14ac:dyDescent="0.3">
      <c r="A251" s="2" t="s">
        <v>1</v>
      </c>
      <c r="B251" s="15">
        <v>42414</v>
      </c>
      <c r="C251" s="5">
        <v>0.5490046296296297</v>
      </c>
      <c r="D251" s="2"/>
    </row>
    <row r="252" spans="1:4" x14ac:dyDescent="0.3">
      <c r="A252" s="2" t="s">
        <v>1</v>
      </c>
      <c r="B252" s="15">
        <v>42414</v>
      </c>
      <c r="C252" s="5">
        <v>0.54804398148148148</v>
      </c>
      <c r="D252" s="2"/>
    </row>
    <row r="253" spans="1:4" x14ac:dyDescent="0.3">
      <c r="A253" s="2" t="s">
        <v>1</v>
      </c>
      <c r="B253" s="15">
        <v>42414</v>
      </c>
      <c r="C253" s="5">
        <v>0.54694444444444446</v>
      </c>
      <c r="D253" s="2"/>
    </row>
    <row r="254" spans="1:4" x14ac:dyDescent="0.3">
      <c r="A254" s="2" t="s">
        <v>1</v>
      </c>
      <c r="B254" s="15">
        <v>42414</v>
      </c>
      <c r="C254" s="5">
        <v>0.50675925925925924</v>
      </c>
      <c r="D254" s="2"/>
    </row>
    <row r="255" spans="1:4" x14ac:dyDescent="0.3">
      <c r="A255" s="2" t="s">
        <v>1</v>
      </c>
      <c r="B255" s="15">
        <v>42414</v>
      </c>
      <c r="C255" s="5">
        <v>0.50458333333333327</v>
      </c>
      <c r="D255" s="2"/>
    </row>
    <row r="256" spans="1:4" x14ac:dyDescent="0.3">
      <c r="A256" s="2" t="s">
        <v>1</v>
      </c>
      <c r="B256" s="15">
        <v>42414</v>
      </c>
      <c r="C256" s="5">
        <v>0.50230324074074073</v>
      </c>
      <c r="D256" s="2"/>
    </row>
    <row r="257" spans="1:4" x14ac:dyDescent="0.3">
      <c r="A257" s="2" t="s">
        <v>1</v>
      </c>
      <c r="B257" s="15">
        <v>42414</v>
      </c>
      <c r="C257" s="5">
        <v>0.50131944444444443</v>
      </c>
      <c r="D257" s="2"/>
    </row>
    <row r="258" spans="1:4" x14ac:dyDescent="0.3">
      <c r="A258" s="2" t="s">
        <v>1</v>
      </c>
      <c r="B258" s="15">
        <v>42414</v>
      </c>
      <c r="C258" s="5">
        <v>0.49855324074074076</v>
      </c>
      <c r="D258" s="2"/>
    </row>
    <row r="259" spans="1:4" x14ac:dyDescent="0.3">
      <c r="A259" s="2" t="s">
        <v>1</v>
      </c>
      <c r="B259" s="15">
        <v>42414</v>
      </c>
      <c r="C259" s="5">
        <v>0.49626157407407406</v>
      </c>
      <c r="D259" s="2"/>
    </row>
    <row r="260" spans="1:4" x14ac:dyDescent="0.3">
      <c r="A260" s="2" t="s">
        <v>1</v>
      </c>
      <c r="B260" s="15">
        <v>42414</v>
      </c>
      <c r="C260" s="5">
        <v>0.49467592592592591</v>
      </c>
      <c r="D260" s="2"/>
    </row>
    <row r="261" spans="1:4" x14ac:dyDescent="0.3">
      <c r="A261" s="2" t="s">
        <v>1</v>
      </c>
      <c r="B261" s="15">
        <v>42414</v>
      </c>
      <c r="C261" s="5">
        <v>0.49416666666666664</v>
      </c>
      <c r="D261" s="2"/>
    </row>
    <row r="262" spans="1:4" x14ac:dyDescent="0.3">
      <c r="A262" s="2" t="s">
        <v>1</v>
      </c>
      <c r="B262" s="15">
        <v>42414</v>
      </c>
      <c r="C262" s="5">
        <v>0.4929398148148148</v>
      </c>
      <c r="D262" s="2"/>
    </row>
    <row r="263" spans="1:4" x14ac:dyDescent="0.3">
      <c r="A263" s="2" t="s">
        <v>1</v>
      </c>
      <c r="B263" s="15">
        <v>42414</v>
      </c>
      <c r="C263" s="5">
        <v>0.49096064814814816</v>
      </c>
      <c r="D263" s="2"/>
    </row>
    <row r="264" spans="1:4" x14ac:dyDescent="0.3">
      <c r="A264" s="2" t="s">
        <v>1</v>
      </c>
      <c r="B264" s="15">
        <v>42414</v>
      </c>
      <c r="C264" s="5">
        <v>0.48931712962962964</v>
      </c>
      <c r="D264" s="2"/>
    </row>
    <row r="265" spans="1:4" x14ac:dyDescent="0.3">
      <c r="A265" s="2" t="s">
        <v>1</v>
      </c>
      <c r="B265" s="15">
        <v>42414</v>
      </c>
      <c r="C265" s="5">
        <v>0.48736111111111113</v>
      </c>
      <c r="D265" s="2"/>
    </row>
    <row r="266" spans="1:4" x14ac:dyDescent="0.3">
      <c r="A266" s="2" t="s">
        <v>1</v>
      </c>
      <c r="B266" s="15">
        <v>42410</v>
      </c>
      <c r="C266" s="5">
        <v>0.74185185185185187</v>
      </c>
      <c r="D266" s="2"/>
    </row>
    <row r="267" spans="1:4" x14ac:dyDescent="0.3">
      <c r="A267" s="2" t="s">
        <v>1</v>
      </c>
      <c r="B267" s="15">
        <v>42407</v>
      </c>
      <c r="C267" s="5">
        <v>0.9069328703703704</v>
      </c>
      <c r="D267" s="2"/>
    </row>
    <row r="268" spans="1:4" x14ac:dyDescent="0.3">
      <c r="A268" s="2" t="s">
        <v>1</v>
      </c>
      <c r="B268" s="15">
        <v>42407</v>
      </c>
      <c r="C268" s="5">
        <v>0.49964120370370368</v>
      </c>
      <c r="D268" s="2"/>
    </row>
    <row r="269" spans="1:4" x14ac:dyDescent="0.3">
      <c r="A269" s="2" t="s">
        <v>1</v>
      </c>
      <c r="B269" s="15">
        <v>42396</v>
      </c>
      <c r="C269" s="5">
        <v>0.96099537037037042</v>
      </c>
      <c r="D269" s="2"/>
    </row>
    <row r="270" spans="1:4" x14ac:dyDescent="0.3">
      <c r="A270" s="2" t="s">
        <v>1</v>
      </c>
      <c r="B270" s="15">
        <v>42395</v>
      </c>
      <c r="C270" s="5">
        <v>0.67469907407407403</v>
      </c>
      <c r="D270" s="2"/>
    </row>
    <row r="271" spans="1:4" x14ac:dyDescent="0.3">
      <c r="A271" s="2" t="s">
        <v>1</v>
      </c>
      <c r="B271" s="15">
        <v>42386</v>
      </c>
      <c r="C271" s="5">
        <v>0.5115277777777778</v>
      </c>
      <c r="D271" s="2"/>
    </row>
    <row r="272" spans="1:4" x14ac:dyDescent="0.3">
      <c r="A272" s="2" t="s">
        <v>1</v>
      </c>
      <c r="B272" s="15">
        <v>42385</v>
      </c>
      <c r="C272" s="5">
        <v>0.91173611111111119</v>
      </c>
      <c r="D272" s="2"/>
    </row>
    <row r="273" spans="1:4" x14ac:dyDescent="0.3">
      <c r="A273" s="2" t="s">
        <v>1</v>
      </c>
      <c r="B273" s="15">
        <v>42385</v>
      </c>
      <c r="C273" s="5">
        <v>0.90302083333333327</v>
      </c>
      <c r="D273" s="2"/>
    </row>
    <row r="274" spans="1:4" x14ac:dyDescent="0.3">
      <c r="A274" s="2" t="s">
        <v>1</v>
      </c>
      <c r="B274" s="15">
        <v>42367</v>
      </c>
      <c r="C274" s="5">
        <v>0.82758101851851851</v>
      </c>
      <c r="D274" s="2"/>
    </row>
    <row r="275" spans="1:4" x14ac:dyDescent="0.3">
      <c r="A275" s="2" t="s">
        <v>1</v>
      </c>
      <c r="B275" s="15">
        <v>42367</v>
      </c>
      <c r="C275" s="5">
        <v>0.82512731481481483</v>
      </c>
      <c r="D275" s="2"/>
    </row>
    <row r="276" spans="1:4" x14ac:dyDescent="0.3">
      <c r="A276" s="2" t="s">
        <v>1</v>
      </c>
      <c r="B276" s="15">
        <v>42367</v>
      </c>
      <c r="C276" s="5">
        <v>0.82283564814814814</v>
      </c>
      <c r="D276" s="2"/>
    </row>
    <row r="277" spans="1:4" x14ac:dyDescent="0.3">
      <c r="A277" s="2" t="s">
        <v>1</v>
      </c>
      <c r="B277" s="15">
        <v>42347</v>
      </c>
      <c r="C277" s="5">
        <v>0.72935185185185192</v>
      </c>
      <c r="D277" s="2"/>
    </row>
    <row r="278" spans="1:4" x14ac:dyDescent="0.3">
      <c r="A278" s="2" t="s">
        <v>1</v>
      </c>
      <c r="B278" s="15">
        <v>42347</v>
      </c>
      <c r="C278" s="5">
        <v>0.72811342592592598</v>
      </c>
      <c r="D278" s="2"/>
    </row>
    <row r="279" spans="1:4" x14ac:dyDescent="0.3">
      <c r="A279" s="2" t="s">
        <v>1</v>
      </c>
      <c r="B279" s="15">
        <v>42347</v>
      </c>
      <c r="C279" s="5">
        <v>0.72581018518518514</v>
      </c>
      <c r="D279" s="2"/>
    </row>
    <row r="280" spans="1:4" x14ac:dyDescent="0.3">
      <c r="A280" s="2" t="s">
        <v>1</v>
      </c>
      <c r="B280" s="15">
        <v>42347</v>
      </c>
      <c r="C280" s="5">
        <v>0.72425925925925927</v>
      </c>
      <c r="D280" s="2"/>
    </row>
    <row r="281" spans="1:4" x14ac:dyDescent="0.3">
      <c r="A281" s="2" t="s">
        <v>1</v>
      </c>
      <c r="B281" s="15">
        <v>42347</v>
      </c>
      <c r="C281" s="5">
        <v>0.72123842592592602</v>
      </c>
      <c r="D281" s="2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0AB6-4053-4F77-AA6E-2BB795025DF7}">
  <dimension ref="A1:F22"/>
  <sheetViews>
    <sheetView workbookViewId="0">
      <selection activeCell="D11" sqref="D11"/>
    </sheetView>
  </sheetViews>
  <sheetFormatPr defaultRowHeight="14.4" x14ac:dyDescent="0.3"/>
  <cols>
    <col min="1" max="1" width="22.6640625" customWidth="1"/>
    <col min="2" max="2" width="32.6640625" customWidth="1"/>
    <col min="3" max="3" width="14.6640625" customWidth="1"/>
    <col min="4" max="4" width="13.77734375" customWidth="1"/>
    <col min="5" max="5" width="15.21875" customWidth="1"/>
    <col min="6" max="6" width="19.33203125" customWidth="1"/>
    <col min="7" max="7" width="24" customWidth="1"/>
    <col min="8" max="8" width="22.77734375" customWidth="1"/>
    <col min="9" max="9" width="11.33203125" customWidth="1"/>
    <col min="10" max="10" width="22" customWidth="1"/>
  </cols>
  <sheetData>
    <row r="1" spans="1:6" x14ac:dyDescent="0.3">
      <c r="A1" s="12" t="s">
        <v>9</v>
      </c>
      <c r="B1" s="12" t="s">
        <v>10</v>
      </c>
      <c r="C1" s="12" t="s">
        <v>7</v>
      </c>
      <c r="D1" s="12" t="s">
        <v>11</v>
      </c>
      <c r="E1" s="21" t="s">
        <v>27</v>
      </c>
      <c r="F1" s="36" t="s">
        <v>35</v>
      </c>
    </row>
    <row r="2" spans="1:6" x14ac:dyDescent="0.3">
      <c r="A2" s="2" t="s">
        <v>18</v>
      </c>
      <c r="B2" s="2" t="s">
        <v>14</v>
      </c>
      <c r="C2" s="19">
        <v>4</v>
      </c>
      <c r="D2" s="20">
        <v>4</v>
      </c>
      <c r="E2" s="35">
        <f>C2*D2</f>
        <v>16</v>
      </c>
      <c r="F2" s="34" t="str">
        <f>IF(E2&lt;$B$16, "DA", "NE")</f>
        <v>DA</v>
      </c>
    </row>
    <row r="3" spans="1:6" x14ac:dyDescent="0.3">
      <c r="A3" s="2" t="s">
        <v>19</v>
      </c>
      <c r="B3" s="2" t="s">
        <v>12</v>
      </c>
      <c r="C3" s="19">
        <v>5</v>
      </c>
      <c r="D3" s="20">
        <v>8</v>
      </c>
      <c r="E3" s="35">
        <f t="shared" ref="E3:E12" si="0">C3*D3</f>
        <v>40</v>
      </c>
      <c r="F3" s="34" t="str">
        <f>IF(E3&lt;$B$16, "DA", "NE")</f>
        <v>DA</v>
      </c>
    </row>
    <row r="4" spans="1:6" x14ac:dyDescent="0.3">
      <c r="A4" s="2" t="s">
        <v>19</v>
      </c>
      <c r="B4" s="2" t="s">
        <v>13</v>
      </c>
      <c r="C4" s="19">
        <v>7</v>
      </c>
      <c r="D4" s="20">
        <v>12</v>
      </c>
      <c r="E4" s="35">
        <f t="shared" si="0"/>
        <v>84</v>
      </c>
      <c r="F4" s="34" t="str">
        <f t="shared" ref="F4:F12" si="1">IF(E4&lt;$B$16, "DA", "NE")</f>
        <v>NE</v>
      </c>
    </row>
    <row r="5" spans="1:6" x14ac:dyDescent="0.3">
      <c r="A5" s="2" t="s">
        <v>20</v>
      </c>
      <c r="B5" s="2" t="s">
        <v>23</v>
      </c>
      <c r="C5" s="19">
        <v>20</v>
      </c>
      <c r="D5" s="20">
        <v>0.69</v>
      </c>
      <c r="E5" s="35">
        <f t="shared" si="0"/>
        <v>13.799999999999999</v>
      </c>
      <c r="F5" s="34" t="str">
        <f t="shared" si="1"/>
        <v>DA</v>
      </c>
    </row>
    <row r="6" spans="1:6" ht="16.2" customHeight="1" x14ac:dyDescent="0.3">
      <c r="A6" s="2" t="s">
        <v>20</v>
      </c>
      <c r="B6" s="18" t="s">
        <v>24</v>
      </c>
      <c r="C6" s="19">
        <v>10</v>
      </c>
      <c r="D6" s="20">
        <v>0.69</v>
      </c>
      <c r="E6" s="35">
        <f t="shared" si="0"/>
        <v>6.8999999999999995</v>
      </c>
      <c r="F6" s="34" t="str">
        <f t="shared" si="1"/>
        <v>DA</v>
      </c>
    </row>
    <row r="7" spans="1:6" x14ac:dyDescent="0.3">
      <c r="A7" s="2" t="s">
        <v>18</v>
      </c>
      <c r="B7" s="2" t="s">
        <v>15</v>
      </c>
      <c r="C7" s="19">
        <v>3</v>
      </c>
      <c r="D7" s="20">
        <v>10</v>
      </c>
      <c r="E7" s="35">
        <f t="shared" si="0"/>
        <v>30</v>
      </c>
      <c r="F7" s="34" t="str">
        <f t="shared" si="1"/>
        <v>DA</v>
      </c>
    </row>
    <row r="8" spans="1:6" x14ac:dyDescent="0.3">
      <c r="A8" s="2" t="s">
        <v>19</v>
      </c>
      <c r="B8" s="2" t="s">
        <v>16</v>
      </c>
      <c r="C8" s="19">
        <v>5</v>
      </c>
      <c r="D8" s="20">
        <v>6</v>
      </c>
      <c r="E8" s="35">
        <f t="shared" si="0"/>
        <v>30</v>
      </c>
      <c r="F8" s="34" t="str">
        <f t="shared" si="1"/>
        <v>DA</v>
      </c>
    </row>
    <row r="9" spans="1:6" x14ac:dyDescent="0.3">
      <c r="A9" s="2" t="s">
        <v>18</v>
      </c>
      <c r="B9" s="2" t="s">
        <v>17</v>
      </c>
      <c r="C9" s="19">
        <v>3</v>
      </c>
      <c r="D9" s="20">
        <v>6</v>
      </c>
      <c r="E9" s="35">
        <f t="shared" si="0"/>
        <v>18</v>
      </c>
      <c r="F9" s="34" t="str">
        <f t="shared" si="1"/>
        <v>DA</v>
      </c>
    </row>
    <row r="10" spans="1:6" x14ac:dyDescent="0.3">
      <c r="A10" s="2" t="s">
        <v>22</v>
      </c>
      <c r="B10" s="2" t="s">
        <v>21</v>
      </c>
      <c r="C10" s="19">
        <v>2</v>
      </c>
      <c r="D10" s="20">
        <v>30</v>
      </c>
      <c r="E10" s="35">
        <f t="shared" si="0"/>
        <v>60</v>
      </c>
      <c r="F10" s="34" t="str">
        <f t="shared" si="1"/>
        <v>NE</v>
      </c>
    </row>
    <row r="11" spans="1:6" x14ac:dyDescent="0.3">
      <c r="A11" s="2" t="s">
        <v>22</v>
      </c>
      <c r="B11" s="2" t="s">
        <v>25</v>
      </c>
      <c r="C11" s="19">
        <v>1</v>
      </c>
      <c r="D11" s="20">
        <v>40</v>
      </c>
      <c r="E11" s="35">
        <f t="shared" si="0"/>
        <v>40</v>
      </c>
      <c r="F11" s="34" t="str">
        <f t="shared" si="1"/>
        <v>DA</v>
      </c>
    </row>
    <row r="12" spans="1:6" x14ac:dyDescent="0.3">
      <c r="A12" s="2" t="s">
        <v>19</v>
      </c>
      <c r="B12" s="2" t="s">
        <v>26</v>
      </c>
      <c r="C12" s="19">
        <v>2</v>
      </c>
      <c r="D12" s="20">
        <v>60</v>
      </c>
      <c r="E12" s="35">
        <f t="shared" si="0"/>
        <v>120</v>
      </c>
      <c r="F12" s="34" t="str">
        <f t="shared" si="1"/>
        <v>NE</v>
      </c>
    </row>
    <row r="13" spans="1:6" x14ac:dyDescent="0.3">
      <c r="A13" s="11"/>
      <c r="B13" s="11"/>
      <c r="C13" s="25"/>
      <c r="D13" s="26"/>
      <c r="E13" s="27"/>
    </row>
    <row r="15" spans="1:6" x14ac:dyDescent="0.3">
      <c r="A15" s="24" t="s">
        <v>33</v>
      </c>
      <c r="B15" s="40">
        <v>500</v>
      </c>
      <c r="C15" s="40"/>
      <c r="D15" s="40"/>
    </row>
    <row r="16" spans="1:6" x14ac:dyDescent="0.3">
      <c r="A16" s="23" t="s">
        <v>34</v>
      </c>
      <c r="B16" s="38">
        <f>B15-B18</f>
        <v>41.299999999999955</v>
      </c>
      <c r="C16" s="39"/>
      <c r="D16" s="39"/>
    </row>
    <row r="18" spans="1:5" x14ac:dyDescent="0.3">
      <c r="A18" s="22" t="s">
        <v>28</v>
      </c>
      <c r="B18" s="20">
        <f>SUM(E2:E13)</f>
        <v>458.70000000000005</v>
      </c>
      <c r="D18" s="28" t="s">
        <v>32</v>
      </c>
      <c r="E18" s="28"/>
    </row>
    <row r="19" spans="1:5" x14ac:dyDescent="0.3">
      <c r="A19" s="22" t="s">
        <v>29</v>
      </c>
      <c r="B19" s="20">
        <f>AVERAGE(E2:E13)</f>
        <v>41.7</v>
      </c>
      <c r="D19" s="24" t="s">
        <v>18</v>
      </c>
      <c r="E19" s="20">
        <f>SUMIF($A$2:$A$13,D19,$E$2:$E$13)</f>
        <v>64</v>
      </c>
    </row>
    <row r="20" spans="1:5" x14ac:dyDescent="0.3">
      <c r="A20" s="22" t="s">
        <v>30</v>
      </c>
      <c r="B20" s="20">
        <f>MAX(E2:E13)</f>
        <v>120</v>
      </c>
      <c r="D20" s="24" t="s">
        <v>19</v>
      </c>
      <c r="E20" s="20">
        <f t="shared" ref="E20:E22" si="2">SUMIF($A$2:$A$13,D20,$E$2:$E$13)</f>
        <v>274</v>
      </c>
    </row>
    <row r="21" spans="1:5" x14ac:dyDescent="0.3">
      <c r="A21" s="22" t="s">
        <v>31</v>
      </c>
      <c r="B21" s="20">
        <f>MIN(E2:E13)</f>
        <v>6.8999999999999995</v>
      </c>
      <c r="D21" s="24" t="s">
        <v>20</v>
      </c>
      <c r="E21" s="20">
        <f t="shared" si="2"/>
        <v>20.7</v>
      </c>
    </row>
    <row r="22" spans="1:5" x14ac:dyDescent="0.3">
      <c r="D22" s="24" t="s">
        <v>22</v>
      </c>
      <c r="E22" s="20">
        <f t="shared" si="2"/>
        <v>100</v>
      </c>
    </row>
  </sheetData>
  <mergeCells count="2">
    <mergeCell ref="B15:D15"/>
    <mergeCell ref="B16:D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A13FA-11E4-4D13-BB4D-4FAB19AA34DD}">
  <dimension ref="A1:O281"/>
  <sheetViews>
    <sheetView workbookViewId="0">
      <selection activeCell="D1" sqref="D1:D1048576"/>
    </sheetView>
  </sheetViews>
  <sheetFormatPr defaultRowHeight="14.4" x14ac:dyDescent="0.3"/>
  <cols>
    <col min="2" max="2" width="17.77734375" customWidth="1"/>
    <col min="3" max="3" width="11.5546875" customWidth="1"/>
    <col min="4" max="4" width="15.33203125" customWidth="1"/>
    <col min="5" max="5" width="15.21875" customWidth="1"/>
    <col min="6" max="6" width="13.5546875" customWidth="1"/>
    <col min="8" max="8" width="12.6640625" customWidth="1"/>
    <col min="9" max="9" width="11.6640625" customWidth="1"/>
    <col min="10" max="10" width="10.6640625" customWidth="1"/>
    <col min="11" max="11" width="11.6640625" customWidth="1"/>
    <col min="12" max="12" width="11.44140625" customWidth="1"/>
  </cols>
  <sheetData>
    <row r="1" spans="1:15" ht="14.4" customHeight="1" x14ac:dyDescent="0.3">
      <c r="A1" s="3" t="s">
        <v>4</v>
      </c>
      <c r="B1" s="3" t="s">
        <v>5</v>
      </c>
      <c r="C1" s="3" t="s">
        <v>6</v>
      </c>
      <c r="D1" s="3" t="s">
        <v>8</v>
      </c>
      <c r="F1" s="6" t="s">
        <v>4</v>
      </c>
      <c r="G1" s="6" t="s">
        <v>7</v>
      </c>
      <c r="I1" s="9"/>
      <c r="J1" s="7">
        <v>2015</v>
      </c>
      <c r="K1" s="7">
        <v>2016</v>
      </c>
      <c r="L1" s="7">
        <v>2017</v>
      </c>
      <c r="M1" s="7">
        <v>2018</v>
      </c>
      <c r="N1" s="7">
        <v>2019</v>
      </c>
      <c r="O1" s="9"/>
    </row>
    <row r="2" spans="1:15" x14ac:dyDescent="0.3">
      <c r="A2" s="2" t="s">
        <v>1</v>
      </c>
      <c r="B2" s="4">
        <v>43911</v>
      </c>
      <c r="C2" s="5">
        <v>0.85293981481481485</v>
      </c>
      <c r="D2" s="2">
        <f>YEAR(B2)</f>
        <v>2020</v>
      </c>
      <c r="F2" s="2" t="s">
        <v>0</v>
      </c>
      <c r="G2" s="2">
        <f>COUNTIF($A$2:$A$281,F2)</f>
        <v>8</v>
      </c>
      <c r="I2" s="12" t="s">
        <v>7</v>
      </c>
      <c r="J2" s="2">
        <f t="shared" ref="J2:N2" si="0">COUNTIF($D$2:$D$281,J1)</f>
        <v>8</v>
      </c>
      <c r="K2" s="2">
        <f t="shared" si="0"/>
        <v>73</v>
      </c>
      <c r="L2" s="2">
        <f t="shared" si="0"/>
        <v>85</v>
      </c>
      <c r="M2" s="2">
        <f t="shared" si="0"/>
        <v>61</v>
      </c>
      <c r="N2" s="2">
        <f t="shared" si="0"/>
        <v>50</v>
      </c>
      <c r="O2" s="11"/>
    </row>
    <row r="3" spans="1:15" x14ac:dyDescent="0.3">
      <c r="A3" s="2" t="s">
        <v>1</v>
      </c>
      <c r="B3" s="4">
        <v>43832</v>
      </c>
      <c r="C3" s="5">
        <v>0.37597222222222221</v>
      </c>
      <c r="D3" s="2">
        <f t="shared" ref="D3:D66" si="1">YEAR(B3)</f>
        <v>2020</v>
      </c>
      <c r="F3" s="2" t="s">
        <v>1</v>
      </c>
      <c r="G3" s="2">
        <f t="shared" ref="G3:G5" si="2">COUNTIF($A$2:$A$281,F3)</f>
        <v>269</v>
      </c>
    </row>
    <row r="4" spans="1:15" x14ac:dyDescent="0.3">
      <c r="A4" s="2" t="s">
        <v>1</v>
      </c>
      <c r="B4" s="4">
        <v>43831</v>
      </c>
      <c r="C4" s="5">
        <v>0.82887731481481486</v>
      </c>
      <c r="D4" s="2">
        <f t="shared" si="1"/>
        <v>2020</v>
      </c>
      <c r="F4" s="2" t="s">
        <v>2</v>
      </c>
      <c r="G4" s="2">
        <f t="shared" si="2"/>
        <v>1</v>
      </c>
    </row>
    <row r="5" spans="1:15" x14ac:dyDescent="0.3">
      <c r="A5" s="2" t="s">
        <v>0</v>
      </c>
      <c r="B5" s="4">
        <v>43825</v>
      </c>
      <c r="C5" s="5">
        <v>0.3835069444444445</v>
      </c>
      <c r="D5" s="2">
        <f t="shared" si="1"/>
        <v>2019</v>
      </c>
      <c r="F5" s="2" t="s">
        <v>3</v>
      </c>
      <c r="G5" s="2">
        <f t="shared" si="2"/>
        <v>2</v>
      </c>
      <c r="J5" s="17"/>
      <c r="K5" s="17"/>
    </row>
    <row r="6" spans="1:15" x14ac:dyDescent="0.3">
      <c r="A6" s="2" t="s">
        <v>1</v>
      </c>
      <c r="B6" s="4">
        <v>43825</v>
      </c>
      <c r="C6" s="5">
        <v>0.48937499999999995</v>
      </c>
      <c r="D6" s="2">
        <f t="shared" si="1"/>
        <v>2019</v>
      </c>
    </row>
    <row r="7" spans="1:15" x14ac:dyDescent="0.3">
      <c r="A7" s="2" t="s">
        <v>1</v>
      </c>
      <c r="B7" s="4">
        <v>43824</v>
      </c>
      <c r="C7" s="5">
        <v>0.46429398148148149</v>
      </c>
      <c r="D7" s="2">
        <f t="shared" si="1"/>
        <v>2019</v>
      </c>
      <c r="H7" s="9"/>
      <c r="I7" s="9"/>
    </row>
    <row r="8" spans="1:15" x14ac:dyDescent="0.3">
      <c r="A8" s="2" t="s">
        <v>1</v>
      </c>
      <c r="B8" s="4">
        <v>43817</v>
      </c>
      <c r="C8" s="5">
        <v>0.42288194444444444</v>
      </c>
      <c r="D8" s="2">
        <f t="shared" si="1"/>
        <v>2019</v>
      </c>
      <c r="H8" s="10"/>
      <c r="I8" s="11"/>
    </row>
    <row r="9" spans="1:15" x14ac:dyDescent="0.3">
      <c r="A9" s="2" t="s">
        <v>1</v>
      </c>
      <c r="B9" s="4">
        <v>43809</v>
      </c>
      <c r="C9" s="5">
        <v>0.34670138888888885</v>
      </c>
      <c r="D9" s="2">
        <f t="shared" si="1"/>
        <v>2019</v>
      </c>
      <c r="H9" s="10"/>
      <c r="I9" s="11"/>
    </row>
    <row r="10" spans="1:15" x14ac:dyDescent="0.3">
      <c r="A10" s="2" t="s">
        <v>1</v>
      </c>
      <c r="B10" s="4">
        <v>43806</v>
      </c>
      <c r="C10" s="5">
        <v>0.55680555555555555</v>
      </c>
      <c r="D10" s="2">
        <f t="shared" si="1"/>
        <v>2019</v>
      </c>
      <c r="H10" s="10"/>
      <c r="I10" s="11"/>
    </row>
    <row r="11" spans="1:15" x14ac:dyDescent="0.3">
      <c r="A11" s="2" t="s">
        <v>1</v>
      </c>
      <c r="B11" s="4">
        <v>43792</v>
      </c>
      <c r="C11" s="5">
        <v>0.90457175925925926</v>
      </c>
      <c r="D11" s="2">
        <f t="shared" si="1"/>
        <v>2019</v>
      </c>
      <c r="H11" s="10"/>
      <c r="I11" s="11"/>
    </row>
    <row r="12" spans="1:15" x14ac:dyDescent="0.3">
      <c r="A12" s="2" t="s">
        <v>1</v>
      </c>
      <c r="B12" s="4">
        <v>43791</v>
      </c>
      <c r="C12" s="5">
        <v>0.79517361111111118</v>
      </c>
      <c r="D12" s="2">
        <f t="shared" si="1"/>
        <v>2019</v>
      </c>
      <c r="H12" s="10"/>
      <c r="I12" s="11"/>
    </row>
    <row r="13" spans="1:15" x14ac:dyDescent="0.3">
      <c r="A13" s="2" t="s">
        <v>0</v>
      </c>
      <c r="B13" s="4">
        <v>43781</v>
      </c>
      <c r="C13" s="5">
        <v>0.8774074074074073</v>
      </c>
      <c r="D13" s="2">
        <f t="shared" si="1"/>
        <v>2019</v>
      </c>
      <c r="H13" s="10"/>
      <c r="I13" s="11"/>
    </row>
    <row r="14" spans="1:15" x14ac:dyDescent="0.3">
      <c r="A14" s="2" t="s">
        <v>1</v>
      </c>
      <c r="B14" s="4">
        <v>43781</v>
      </c>
      <c r="C14" s="5">
        <v>0.65524305555555562</v>
      </c>
      <c r="D14" s="2">
        <f t="shared" si="1"/>
        <v>2019</v>
      </c>
      <c r="H14" s="10"/>
      <c r="I14" s="11"/>
    </row>
    <row r="15" spans="1:15" x14ac:dyDescent="0.3">
      <c r="A15" s="2" t="s">
        <v>1</v>
      </c>
      <c r="B15" s="4">
        <v>43778</v>
      </c>
      <c r="C15" s="5">
        <v>0.87078703703703697</v>
      </c>
      <c r="D15" s="2">
        <f t="shared" si="1"/>
        <v>2019</v>
      </c>
    </row>
    <row r="16" spans="1:15" x14ac:dyDescent="0.3">
      <c r="A16" s="2" t="s">
        <v>1</v>
      </c>
      <c r="B16" s="4">
        <v>43778</v>
      </c>
      <c r="C16" s="5">
        <v>0.87078703703703697</v>
      </c>
      <c r="D16" s="2">
        <f t="shared" si="1"/>
        <v>2019</v>
      </c>
    </row>
    <row r="17" spans="1:4" x14ac:dyDescent="0.3">
      <c r="A17" s="2" t="s">
        <v>2</v>
      </c>
      <c r="B17" s="4">
        <v>43778</v>
      </c>
      <c r="C17" s="5">
        <v>0.87355324074074081</v>
      </c>
      <c r="D17" s="2">
        <f t="shared" si="1"/>
        <v>2019</v>
      </c>
    </row>
    <row r="18" spans="1:4" x14ac:dyDescent="0.3">
      <c r="A18" s="2" t="s">
        <v>1</v>
      </c>
      <c r="B18" s="4">
        <v>43737</v>
      </c>
      <c r="C18" s="5">
        <v>0.38119212962962962</v>
      </c>
      <c r="D18" s="2">
        <f t="shared" si="1"/>
        <v>2019</v>
      </c>
    </row>
    <row r="19" spans="1:4" x14ac:dyDescent="0.3">
      <c r="A19" s="2" t="s">
        <v>1</v>
      </c>
      <c r="B19" s="4">
        <v>43737</v>
      </c>
      <c r="C19" s="5">
        <v>0.38119212962962962</v>
      </c>
      <c r="D19" s="2">
        <f t="shared" si="1"/>
        <v>2019</v>
      </c>
    </row>
    <row r="20" spans="1:4" x14ac:dyDescent="0.3">
      <c r="A20" s="2" t="s">
        <v>1</v>
      </c>
      <c r="B20" s="4">
        <v>43736</v>
      </c>
      <c r="C20" s="5">
        <v>0.84785879629629635</v>
      </c>
      <c r="D20" s="2">
        <f t="shared" si="1"/>
        <v>2019</v>
      </c>
    </row>
    <row r="21" spans="1:4" x14ac:dyDescent="0.3">
      <c r="A21" s="2" t="s">
        <v>1</v>
      </c>
      <c r="B21" s="4">
        <v>43736</v>
      </c>
      <c r="C21" s="5">
        <v>0.84785879629629635</v>
      </c>
      <c r="D21" s="2">
        <f t="shared" si="1"/>
        <v>2019</v>
      </c>
    </row>
    <row r="22" spans="1:4" x14ac:dyDescent="0.3">
      <c r="A22" s="2" t="s">
        <v>1</v>
      </c>
      <c r="B22" s="4">
        <v>43736</v>
      </c>
      <c r="C22" s="5">
        <v>0.84785879629629635</v>
      </c>
      <c r="D22" s="2">
        <f t="shared" si="1"/>
        <v>2019</v>
      </c>
    </row>
    <row r="23" spans="1:4" x14ac:dyDescent="0.3">
      <c r="A23" s="2" t="s">
        <v>1</v>
      </c>
      <c r="B23" s="4">
        <v>43736</v>
      </c>
      <c r="C23" s="5">
        <v>0.84785879629629635</v>
      </c>
      <c r="D23" s="2">
        <f t="shared" si="1"/>
        <v>2019</v>
      </c>
    </row>
    <row r="24" spans="1:4" x14ac:dyDescent="0.3">
      <c r="A24" s="2" t="s">
        <v>1</v>
      </c>
      <c r="B24" s="4">
        <v>43651</v>
      </c>
      <c r="C24" s="5">
        <v>0.5625</v>
      </c>
      <c r="D24" s="2">
        <f t="shared" si="1"/>
        <v>2019</v>
      </c>
    </row>
    <row r="25" spans="1:4" x14ac:dyDescent="0.3">
      <c r="A25" s="2" t="s">
        <v>1</v>
      </c>
      <c r="B25" s="4">
        <v>43576</v>
      </c>
      <c r="C25" s="5">
        <v>0.33173611111111112</v>
      </c>
      <c r="D25" s="2">
        <f t="shared" si="1"/>
        <v>2019</v>
      </c>
    </row>
    <row r="26" spans="1:4" x14ac:dyDescent="0.3">
      <c r="A26" s="2" t="s">
        <v>1</v>
      </c>
      <c r="B26" s="4">
        <v>43569</v>
      </c>
      <c r="C26" s="5">
        <v>0.87972222222222218</v>
      </c>
      <c r="D26" s="2">
        <f t="shared" si="1"/>
        <v>2019</v>
      </c>
    </row>
    <row r="27" spans="1:4" x14ac:dyDescent="0.3">
      <c r="A27" s="2" t="s">
        <v>1</v>
      </c>
      <c r="B27" s="4">
        <v>43569</v>
      </c>
      <c r="C27" s="5">
        <v>0.87972222222222218</v>
      </c>
      <c r="D27" s="2">
        <f t="shared" si="1"/>
        <v>2019</v>
      </c>
    </row>
    <row r="28" spans="1:4" x14ac:dyDescent="0.3">
      <c r="A28" s="2" t="s">
        <v>1</v>
      </c>
      <c r="B28" s="4">
        <v>43569</v>
      </c>
      <c r="C28" s="5">
        <v>0.42850694444444448</v>
      </c>
      <c r="D28" s="2">
        <f t="shared" si="1"/>
        <v>2019</v>
      </c>
    </row>
    <row r="29" spans="1:4" x14ac:dyDescent="0.3">
      <c r="A29" s="2" t="s">
        <v>1</v>
      </c>
      <c r="B29" s="4">
        <v>43569</v>
      </c>
      <c r="C29" s="5">
        <v>0.42850694444444448</v>
      </c>
      <c r="D29" s="2">
        <f t="shared" si="1"/>
        <v>2019</v>
      </c>
    </row>
    <row r="30" spans="1:4" x14ac:dyDescent="0.3">
      <c r="A30" s="2" t="s">
        <v>1</v>
      </c>
      <c r="B30" s="4">
        <v>43569</v>
      </c>
      <c r="C30" s="5">
        <v>0.42850694444444448</v>
      </c>
      <c r="D30" s="2">
        <f t="shared" si="1"/>
        <v>2019</v>
      </c>
    </row>
    <row r="31" spans="1:4" x14ac:dyDescent="0.3">
      <c r="A31" s="2" t="s">
        <v>1</v>
      </c>
      <c r="B31" s="4">
        <v>43569</v>
      </c>
      <c r="C31" s="5">
        <v>0.42850694444444448</v>
      </c>
      <c r="D31" s="2">
        <f t="shared" si="1"/>
        <v>2019</v>
      </c>
    </row>
    <row r="32" spans="1:4" x14ac:dyDescent="0.3">
      <c r="A32" s="2" t="s">
        <v>1</v>
      </c>
      <c r="B32" s="4">
        <v>43568</v>
      </c>
      <c r="C32" s="5">
        <v>0.60322916666666659</v>
      </c>
      <c r="D32" s="2">
        <f t="shared" si="1"/>
        <v>2019</v>
      </c>
    </row>
    <row r="33" spans="1:4" x14ac:dyDescent="0.3">
      <c r="A33" s="2" t="s">
        <v>1</v>
      </c>
      <c r="B33" s="4">
        <v>43562</v>
      </c>
      <c r="C33" s="5">
        <v>0.35695601851851855</v>
      </c>
      <c r="D33" s="2">
        <f t="shared" si="1"/>
        <v>2019</v>
      </c>
    </row>
    <row r="34" spans="1:4" x14ac:dyDescent="0.3">
      <c r="A34" s="2" t="s">
        <v>1</v>
      </c>
      <c r="B34" s="4">
        <v>43562</v>
      </c>
      <c r="C34" s="5">
        <v>0.35695601851851855</v>
      </c>
      <c r="D34" s="2">
        <f t="shared" si="1"/>
        <v>2019</v>
      </c>
    </row>
    <row r="35" spans="1:4" x14ac:dyDescent="0.3">
      <c r="A35" s="2" t="s">
        <v>1</v>
      </c>
      <c r="B35" s="4">
        <v>43561</v>
      </c>
      <c r="C35" s="5">
        <v>0.36280092592592594</v>
      </c>
      <c r="D35" s="2">
        <f t="shared" si="1"/>
        <v>2019</v>
      </c>
    </row>
    <row r="36" spans="1:4" x14ac:dyDescent="0.3">
      <c r="A36" s="2" t="s">
        <v>1</v>
      </c>
      <c r="B36" s="4">
        <v>43551</v>
      </c>
      <c r="C36" s="5">
        <v>0.87498842592592585</v>
      </c>
      <c r="D36" s="2">
        <f t="shared" si="1"/>
        <v>2019</v>
      </c>
    </row>
    <row r="37" spans="1:4" x14ac:dyDescent="0.3">
      <c r="A37" s="2" t="s">
        <v>1</v>
      </c>
      <c r="B37" s="4">
        <v>43551</v>
      </c>
      <c r="C37" s="5">
        <v>0.87498842592592585</v>
      </c>
      <c r="D37" s="2">
        <f t="shared" si="1"/>
        <v>2019</v>
      </c>
    </row>
    <row r="38" spans="1:4" x14ac:dyDescent="0.3">
      <c r="A38" s="2" t="s">
        <v>1</v>
      </c>
      <c r="B38" s="4">
        <v>43540</v>
      </c>
      <c r="C38" s="5">
        <v>0.49835648148148143</v>
      </c>
      <c r="D38" s="2">
        <f t="shared" si="1"/>
        <v>2019</v>
      </c>
    </row>
    <row r="39" spans="1:4" x14ac:dyDescent="0.3">
      <c r="A39" s="2" t="s">
        <v>1</v>
      </c>
      <c r="B39" s="4">
        <v>43540</v>
      </c>
      <c r="C39" s="5">
        <v>0.49835648148148143</v>
      </c>
      <c r="D39" s="2">
        <f t="shared" si="1"/>
        <v>2019</v>
      </c>
    </row>
    <row r="40" spans="1:4" x14ac:dyDescent="0.3">
      <c r="A40" s="2" t="s">
        <v>1</v>
      </c>
      <c r="B40" s="4">
        <v>43525</v>
      </c>
      <c r="C40" s="5">
        <v>0.8181250000000001</v>
      </c>
      <c r="D40" s="2">
        <f t="shared" si="1"/>
        <v>2019</v>
      </c>
    </row>
    <row r="41" spans="1:4" x14ac:dyDescent="0.3">
      <c r="A41" s="2" t="s">
        <v>1</v>
      </c>
      <c r="B41" s="4">
        <v>43524</v>
      </c>
      <c r="C41" s="5">
        <v>0.4220949074074074</v>
      </c>
      <c r="D41" s="2">
        <f t="shared" si="1"/>
        <v>2019</v>
      </c>
    </row>
    <row r="42" spans="1:4" x14ac:dyDescent="0.3">
      <c r="A42" s="2" t="s">
        <v>1</v>
      </c>
      <c r="B42" s="4">
        <v>43524</v>
      </c>
      <c r="C42" s="5">
        <v>0.4220949074074074</v>
      </c>
      <c r="D42" s="2">
        <f t="shared" si="1"/>
        <v>2019</v>
      </c>
    </row>
    <row r="43" spans="1:4" x14ac:dyDescent="0.3">
      <c r="A43" s="2" t="s">
        <v>1</v>
      </c>
      <c r="B43" s="4">
        <v>43523</v>
      </c>
      <c r="C43" s="5">
        <v>0.77719907407407407</v>
      </c>
      <c r="D43" s="2">
        <f t="shared" si="1"/>
        <v>2019</v>
      </c>
    </row>
    <row r="44" spans="1:4" x14ac:dyDescent="0.3">
      <c r="A44" s="2" t="s">
        <v>1</v>
      </c>
      <c r="B44" s="4">
        <v>43523</v>
      </c>
      <c r="C44" s="5">
        <v>0.77719907407407407</v>
      </c>
      <c r="D44" s="2">
        <f t="shared" si="1"/>
        <v>2019</v>
      </c>
    </row>
    <row r="45" spans="1:4" x14ac:dyDescent="0.3">
      <c r="A45" s="2" t="s">
        <v>1</v>
      </c>
      <c r="B45" s="4">
        <v>43523</v>
      </c>
      <c r="C45" s="5">
        <v>0.77719907407407407</v>
      </c>
      <c r="D45" s="2">
        <f t="shared" si="1"/>
        <v>2019</v>
      </c>
    </row>
    <row r="46" spans="1:4" x14ac:dyDescent="0.3">
      <c r="A46" s="2" t="s">
        <v>1</v>
      </c>
      <c r="B46" s="4">
        <v>43523</v>
      </c>
      <c r="C46" s="5">
        <v>0.77719907407407407</v>
      </c>
      <c r="D46" s="2">
        <f t="shared" si="1"/>
        <v>2019</v>
      </c>
    </row>
    <row r="47" spans="1:4" x14ac:dyDescent="0.3">
      <c r="A47" s="2" t="s">
        <v>1</v>
      </c>
      <c r="B47" s="4">
        <v>43523</v>
      </c>
      <c r="C47" s="5">
        <v>0.77719907407407407</v>
      </c>
      <c r="D47" s="2">
        <f t="shared" si="1"/>
        <v>2019</v>
      </c>
    </row>
    <row r="48" spans="1:4" x14ac:dyDescent="0.3">
      <c r="A48" s="2" t="s">
        <v>1</v>
      </c>
      <c r="B48" s="4">
        <v>43522</v>
      </c>
      <c r="C48" s="5">
        <v>0.74214120370370373</v>
      </c>
      <c r="D48" s="2">
        <f t="shared" si="1"/>
        <v>2019</v>
      </c>
    </row>
    <row r="49" spans="1:4" x14ac:dyDescent="0.3">
      <c r="A49" s="2" t="s">
        <v>0</v>
      </c>
      <c r="B49" s="4">
        <v>43519</v>
      </c>
      <c r="C49" s="5">
        <v>0.4195949074074074</v>
      </c>
      <c r="D49" s="2">
        <f t="shared" si="1"/>
        <v>2019</v>
      </c>
    </row>
    <row r="50" spans="1:4" x14ac:dyDescent="0.3">
      <c r="A50" s="2" t="s">
        <v>1</v>
      </c>
      <c r="B50" s="4">
        <v>43482</v>
      </c>
      <c r="C50" s="5">
        <v>0.33704861111111112</v>
      </c>
      <c r="D50" s="2">
        <f t="shared" si="1"/>
        <v>2019</v>
      </c>
    </row>
    <row r="51" spans="1:4" x14ac:dyDescent="0.3">
      <c r="A51" s="2" t="s">
        <v>1</v>
      </c>
      <c r="B51" s="4">
        <v>43469</v>
      </c>
      <c r="C51" s="5">
        <v>0.46357638888888886</v>
      </c>
      <c r="D51" s="2">
        <f t="shared" si="1"/>
        <v>2019</v>
      </c>
    </row>
    <row r="52" spans="1:4" x14ac:dyDescent="0.3">
      <c r="A52" s="2" t="s">
        <v>1</v>
      </c>
      <c r="B52" s="4">
        <v>43468</v>
      </c>
      <c r="C52" s="5">
        <v>0.86070601851851858</v>
      </c>
      <c r="D52" s="2">
        <f t="shared" si="1"/>
        <v>2019</v>
      </c>
    </row>
    <row r="53" spans="1:4" x14ac:dyDescent="0.3">
      <c r="A53" s="2" t="s">
        <v>1</v>
      </c>
      <c r="B53" s="4">
        <v>43468</v>
      </c>
      <c r="C53" s="5">
        <v>0.67090277777777774</v>
      </c>
      <c r="D53" s="2">
        <f t="shared" si="1"/>
        <v>2019</v>
      </c>
    </row>
    <row r="54" spans="1:4" x14ac:dyDescent="0.3">
      <c r="A54" s="2" t="s">
        <v>1</v>
      </c>
      <c r="B54" s="4">
        <v>43467</v>
      </c>
      <c r="C54" s="5">
        <v>6.3657407407407402E-4</v>
      </c>
      <c r="D54" s="2">
        <f t="shared" si="1"/>
        <v>2019</v>
      </c>
    </row>
    <row r="55" spans="1:4" x14ac:dyDescent="0.3">
      <c r="A55" s="2" t="s">
        <v>1</v>
      </c>
      <c r="B55" s="4">
        <v>43459</v>
      </c>
      <c r="C55" s="5">
        <v>0.36736111111111108</v>
      </c>
      <c r="D55" s="2">
        <f t="shared" si="1"/>
        <v>2018</v>
      </c>
    </row>
    <row r="56" spans="1:4" x14ac:dyDescent="0.3">
      <c r="A56" s="2" t="s">
        <v>1</v>
      </c>
      <c r="B56" s="4">
        <v>43458</v>
      </c>
      <c r="C56" s="5">
        <v>0.47255787037037034</v>
      </c>
      <c r="D56" s="2">
        <f t="shared" si="1"/>
        <v>2018</v>
      </c>
    </row>
    <row r="57" spans="1:4" x14ac:dyDescent="0.3">
      <c r="A57" s="2" t="s">
        <v>1</v>
      </c>
      <c r="B57" s="4">
        <v>43454</v>
      </c>
      <c r="C57" s="5">
        <v>0.54219907407407408</v>
      </c>
      <c r="D57" s="2">
        <f t="shared" si="1"/>
        <v>2018</v>
      </c>
    </row>
    <row r="58" spans="1:4" x14ac:dyDescent="0.3">
      <c r="A58" s="2" t="s">
        <v>1</v>
      </c>
      <c r="B58" s="4">
        <v>43451</v>
      </c>
      <c r="C58" s="5">
        <v>0.55174768518518513</v>
      </c>
      <c r="D58" s="2">
        <f t="shared" si="1"/>
        <v>2018</v>
      </c>
    </row>
    <row r="59" spans="1:4" x14ac:dyDescent="0.3">
      <c r="A59" s="2" t="s">
        <v>1</v>
      </c>
      <c r="B59" s="4">
        <v>43450</v>
      </c>
      <c r="C59" s="5">
        <v>0.42682870370370374</v>
      </c>
      <c r="D59" s="2">
        <f t="shared" si="1"/>
        <v>2018</v>
      </c>
    </row>
    <row r="60" spans="1:4" x14ac:dyDescent="0.3">
      <c r="A60" s="2" t="s">
        <v>3</v>
      </c>
      <c r="B60" s="4">
        <v>43400</v>
      </c>
      <c r="C60" s="5">
        <v>0.93501157407407398</v>
      </c>
      <c r="D60" s="2">
        <f t="shared" si="1"/>
        <v>2018</v>
      </c>
    </row>
    <row r="61" spans="1:4" x14ac:dyDescent="0.3">
      <c r="A61" s="2" t="s">
        <v>1</v>
      </c>
      <c r="B61" s="4">
        <v>43396</v>
      </c>
      <c r="C61" s="5">
        <v>0.32643518518518516</v>
      </c>
      <c r="D61" s="2">
        <f t="shared" si="1"/>
        <v>2018</v>
      </c>
    </row>
    <row r="62" spans="1:4" x14ac:dyDescent="0.3">
      <c r="A62" s="2" t="s">
        <v>1</v>
      </c>
      <c r="B62" s="4">
        <v>43359</v>
      </c>
      <c r="C62" s="5">
        <v>0.36921296296296297</v>
      </c>
      <c r="D62" s="2">
        <f t="shared" si="1"/>
        <v>2018</v>
      </c>
    </row>
    <row r="63" spans="1:4" x14ac:dyDescent="0.3">
      <c r="A63" s="2" t="s">
        <v>1</v>
      </c>
      <c r="B63" s="4">
        <v>43358</v>
      </c>
      <c r="C63" s="5">
        <v>0.3477662037037037</v>
      </c>
      <c r="D63" s="2">
        <f t="shared" si="1"/>
        <v>2018</v>
      </c>
    </row>
    <row r="64" spans="1:4" x14ac:dyDescent="0.3">
      <c r="A64" s="2" t="s">
        <v>1</v>
      </c>
      <c r="B64" s="4">
        <v>43347</v>
      </c>
      <c r="C64" s="5">
        <v>0.37134259259259261</v>
      </c>
      <c r="D64" s="2">
        <f t="shared" si="1"/>
        <v>2018</v>
      </c>
    </row>
    <row r="65" spans="1:4" x14ac:dyDescent="0.3">
      <c r="A65" s="2" t="s">
        <v>1</v>
      </c>
      <c r="B65" s="4">
        <v>43321</v>
      </c>
      <c r="C65" s="5">
        <v>0.27979166666666666</v>
      </c>
      <c r="D65" s="2">
        <f t="shared" si="1"/>
        <v>2018</v>
      </c>
    </row>
    <row r="66" spans="1:4" x14ac:dyDescent="0.3">
      <c r="A66" s="2" t="s">
        <v>1</v>
      </c>
      <c r="B66" s="4">
        <v>43320</v>
      </c>
      <c r="C66" s="5">
        <v>0.37894675925925925</v>
      </c>
      <c r="D66" s="2">
        <f t="shared" si="1"/>
        <v>2018</v>
      </c>
    </row>
    <row r="67" spans="1:4" x14ac:dyDescent="0.3">
      <c r="A67" s="2" t="s">
        <v>1</v>
      </c>
      <c r="B67" s="4">
        <v>43293</v>
      </c>
      <c r="C67" s="5">
        <v>0.676875</v>
      </c>
      <c r="D67" s="2">
        <f t="shared" ref="D67:D130" si="3">YEAR(B67)</f>
        <v>2018</v>
      </c>
    </row>
    <row r="68" spans="1:4" x14ac:dyDescent="0.3">
      <c r="A68" s="2" t="s">
        <v>1</v>
      </c>
      <c r="B68" s="4">
        <v>43293</v>
      </c>
      <c r="C68" s="5">
        <v>0.57379629629629625</v>
      </c>
      <c r="D68" s="2">
        <f t="shared" si="3"/>
        <v>2018</v>
      </c>
    </row>
    <row r="69" spans="1:4" x14ac:dyDescent="0.3">
      <c r="A69" s="2" t="s">
        <v>1</v>
      </c>
      <c r="B69" s="4">
        <v>43285</v>
      </c>
      <c r="C69" s="5">
        <v>0.41565972222222225</v>
      </c>
      <c r="D69" s="2">
        <f t="shared" si="3"/>
        <v>2018</v>
      </c>
    </row>
    <row r="70" spans="1:4" x14ac:dyDescent="0.3">
      <c r="A70" s="2" t="s">
        <v>1</v>
      </c>
      <c r="B70" s="4">
        <v>43284</v>
      </c>
      <c r="C70" s="5">
        <v>0.54454861111111108</v>
      </c>
      <c r="D70" s="2">
        <f t="shared" si="3"/>
        <v>2018</v>
      </c>
    </row>
    <row r="71" spans="1:4" x14ac:dyDescent="0.3">
      <c r="A71" s="2" t="s">
        <v>1</v>
      </c>
      <c r="B71" s="4">
        <v>43274</v>
      </c>
      <c r="C71" s="5">
        <v>0.26406250000000003</v>
      </c>
      <c r="D71" s="2">
        <f t="shared" si="3"/>
        <v>2018</v>
      </c>
    </row>
    <row r="72" spans="1:4" x14ac:dyDescent="0.3">
      <c r="A72" s="2" t="s">
        <v>1</v>
      </c>
      <c r="B72" s="4">
        <v>43274</v>
      </c>
      <c r="C72" s="5">
        <v>0.26403935185185184</v>
      </c>
      <c r="D72" s="2">
        <f t="shared" si="3"/>
        <v>2018</v>
      </c>
    </row>
    <row r="73" spans="1:4" x14ac:dyDescent="0.3">
      <c r="A73" s="2" t="s">
        <v>1</v>
      </c>
      <c r="B73" s="4">
        <v>43273</v>
      </c>
      <c r="C73" s="5">
        <v>0.83081018518518512</v>
      </c>
      <c r="D73" s="2">
        <f t="shared" si="3"/>
        <v>2018</v>
      </c>
    </row>
    <row r="74" spans="1:4" x14ac:dyDescent="0.3">
      <c r="A74" s="2" t="s">
        <v>1</v>
      </c>
      <c r="B74" s="4">
        <v>43273</v>
      </c>
      <c r="C74" s="5">
        <v>0.83078703703703705</v>
      </c>
      <c r="D74" s="2">
        <f t="shared" si="3"/>
        <v>2018</v>
      </c>
    </row>
    <row r="75" spans="1:4" x14ac:dyDescent="0.3">
      <c r="A75" s="2" t="s">
        <v>1</v>
      </c>
      <c r="B75" s="4">
        <v>43273</v>
      </c>
      <c r="C75" s="5">
        <v>0.48260416666666667</v>
      </c>
      <c r="D75" s="2">
        <f t="shared" si="3"/>
        <v>2018</v>
      </c>
    </row>
    <row r="76" spans="1:4" x14ac:dyDescent="0.3">
      <c r="A76" s="2" t="s">
        <v>1</v>
      </c>
      <c r="B76" s="4">
        <v>43253</v>
      </c>
      <c r="C76" s="5">
        <v>0.65872685185185187</v>
      </c>
      <c r="D76" s="2">
        <f t="shared" si="3"/>
        <v>2018</v>
      </c>
    </row>
    <row r="77" spans="1:4" x14ac:dyDescent="0.3">
      <c r="A77" s="2" t="s">
        <v>0</v>
      </c>
      <c r="B77" s="4">
        <v>43235</v>
      </c>
      <c r="C77" s="5">
        <v>0.35631944444444441</v>
      </c>
      <c r="D77" s="2">
        <f t="shared" si="3"/>
        <v>2018</v>
      </c>
    </row>
    <row r="78" spans="1:4" x14ac:dyDescent="0.3">
      <c r="A78" s="2" t="s">
        <v>1</v>
      </c>
      <c r="B78" s="4">
        <v>43230</v>
      </c>
      <c r="C78" s="5">
        <v>0.38369212962962962</v>
      </c>
      <c r="D78" s="2">
        <f t="shared" si="3"/>
        <v>2018</v>
      </c>
    </row>
    <row r="79" spans="1:4" x14ac:dyDescent="0.3">
      <c r="A79" s="2" t="s">
        <v>1</v>
      </c>
      <c r="B79" s="4">
        <v>43229</v>
      </c>
      <c r="C79" s="5">
        <v>0.27211805555555557</v>
      </c>
      <c r="D79" s="2">
        <f t="shared" si="3"/>
        <v>2018</v>
      </c>
    </row>
    <row r="80" spans="1:4" x14ac:dyDescent="0.3">
      <c r="A80" s="2" t="s">
        <v>1</v>
      </c>
      <c r="B80" s="4">
        <v>43228</v>
      </c>
      <c r="C80" s="5">
        <v>0.80495370370370367</v>
      </c>
      <c r="D80" s="2">
        <f t="shared" si="3"/>
        <v>2018</v>
      </c>
    </row>
    <row r="81" spans="1:4" x14ac:dyDescent="0.3">
      <c r="A81" s="2" t="s">
        <v>1</v>
      </c>
      <c r="B81" s="4">
        <v>43228</v>
      </c>
      <c r="C81" s="5">
        <v>0.80494212962962963</v>
      </c>
      <c r="D81" s="2">
        <f t="shared" si="3"/>
        <v>2018</v>
      </c>
    </row>
    <row r="82" spans="1:4" x14ac:dyDescent="0.3">
      <c r="A82" s="2" t="s">
        <v>1</v>
      </c>
      <c r="B82" s="4">
        <v>43228</v>
      </c>
      <c r="C82" s="5">
        <v>0.69284722222222228</v>
      </c>
      <c r="D82" s="2">
        <f t="shared" si="3"/>
        <v>2018</v>
      </c>
    </row>
    <row r="83" spans="1:4" x14ac:dyDescent="0.3">
      <c r="A83" s="2" t="s">
        <v>1</v>
      </c>
      <c r="B83" s="4">
        <v>43212</v>
      </c>
      <c r="C83" s="5">
        <v>0.54836805555555557</v>
      </c>
      <c r="D83" s="2">
        <f t="shared" si="3"/>
        <v>2018</v>
      </c>
    </row>
    <row r="84" spans="1:4" x14ac:dyDescent="0.3">
      <c r="A84" s="2" t="s">
        <v>1</v>
      </c>
      <c r="B84" s="4">
        <v>43212</v>
      </c>
      <c r="C84" s="5">
        <v>0.54835648148148153</v>
      </c>
      <c r="D84" s="2">
        <f t="shared" si="3"/>
        <v>2018</v>
      </c>
    </row>
    <row r="85" spans="1:4" x14ac:dyDescent="0.3">
      <c r="A85" s="2" t="s">
        <v>1</v>
      </c>
      <c r="B85" s="4">
        <v>43212</v>
      </c>
      <c r="C85" s="5">
        <v>0.54834490740740738</v>
      </c>
      <c r="D85" s="2">
        <f t="shared" si="3"/>
        <v>2018</v>
      </c>
    </row>
    <row r="86" spans="1:4" x14ac:dyDescent="0.3">
      <c r="A86" s="2" t="s">
        <v>1</v>
      </c>
      <c r="B86" s="4">
        <v>43212</v>
      </c>
      <c r="C86" s="5">
        <v>0.54832175925925919</v>
      </c>
      <c r="D86" s="2">
        <f t="shared" si="3"/>
        <v>2018</v>
      </c>
    </row>
    <row r="87" spans="1:4" x14ac:dyDescent="0.3">
      <c r="A87" s="2" t="s">
        <v>1</v>
      </c>
      <c r="B87" s="4">
        <v>43212</v>
      </c>
      <c r="C87" s="5">
        <v>0.43662037037037038</v>
      </c>
      <c r="D87" s="2">
        <f t="shared" si="3"/>
        <v>2018</v>
      </c>
    </row>
    <row r="88" spans="1:4" x14ac:dyDescent="0.3">
      <c r="A88" s="2" t="s">
        <v>0</v>
      </c>
      <c r="B88" s="4">
        <v>43195</v>
      </c>
      <c r="C88" s="5">
        <v>0.35228009259259263</v>
      </c>
      <c r="D88" s="2">
        <f t="shared" si="3"/>
        <v>2018</v>
      </c>
    </row>
    <row r="89" spans="1:4" x14ac:dyDescent="0.3">
      <c r="A89" s="2" t="s">
        <v>1</v>
      </c>
      <c r="B89" s="4">
        <v>43195</v>
      </c>
      <c r="C89" s="5">
        <v>0.5723611111111111</v>
      </c>
      <c r="D89" s="2">
        <f t="shared" si="3"/>
        <v>2018</v>
      </c>
    </row>
    <row r="90" spans="1:4" x14ac:dyDescent="0.3">
      <c r="A90" s="2" t="s">
        <v>1</v>
      </c>
      <c r="B90" s="4">
        <v>43195</v>
      </c>
      <c r="C90" s="5">
        <v>0.57229166666666664</v>
      </c>
      <c r="D90" s="2">
        <f t="shared" si="3"/>
        <v>2018</v>
      </c>
    </row>
    <row r="91" spans="1:4" x14ac:dyDescent="0.3">
      <c r="A91" s="2" t="s">
        <v>1</v>
      </c>
      <c r="B91" s="4">
        <v>43193</v>
      </c>
      <c r="C91" s="5">
        <v>0.24523148148148147</v>
      </c>
      <c r="D91" s="2">
        <f t="shared" si="3"/>
        <v>2018</v>
      </c>
    </row>
    <row r="92" spans="1:4" x14ac:dyDescent="0.3">
      <c r="A92" s="2" t="s">
        <v>1</v>
      </c>
      <c r="B92" s="4">
        <v>43192</v>
      </c>
      <c r="C92" s="5">
        <v>0.61863425925925919</v>
      </c>
      <c r="D92" s="2">
        <f t="shared" si="3"/>
        <v>2018</v>
      </c>
    </row>
    <row r="93" spans="1:4" x14ac:dyDescent="0.3">
      <c r="A93" s="2" t="s">
        <v>1</v>
      </c>
      <c r="B93" s="4">
        <v>43191</v>
      </c>
      <c r="C93" s="5">
        <v>0.64826388888888886</v>
      </c>
      <c r="D93" s="2">
        <f t="shared" si="3"/>
        <v>2018</v>
      </c>
    </row>
    <row r="94" spans="1:4" x14ac:dyDescent="0.3">
      <c r="A94" s="2" t="s">
        <v>0</v>
      </c>
      <c r="B94" s="4">
        <v>43163</v>
      </c>
      <c r="C94" s="5">
        <v>0.29994212962962963</v>
      </c>
      <c r="D94" s="2">
        <f t="shared" si="3"/>
        <v>2018</v>
      </c>
    </row>
    <row r="95" spans="1:4" x14ac:dyDescent="0.3">
      <c r="A95" s="2" t="s">
        <v>1</v>
      </c>
      <c r="B95" s="4">
        <v>43163</v>
      </c>
      <c r="C95" s="5">
        <v>0.68019675925925915</v>
      </c>
      <c r="D95" s="2">
        <f t="shared" si="3"/>
        <v>2018</v>
      </c>
    </row>
    <row r="96" spans="1:4" x14ac:dyDescent="0.3">
      <c r="A96" s="2" t="s">
        <v>1</v>
      </c>
      <c r="B96" s="4">
        <v>43163</v>
      </c>
      <c r="C96" s="5">
        <v>0.68017361111111108</v>
      </c>
      <c r="D96" s="2">
        <f t="shared" si="3"/>
        <v>2018</v>
      </c>
    </row>
    <row r="97" spans="1:4" x14ac:dyDescent="0.3">
      <c r="A97" s="2" t="s">
        <v>0</v>
      </c>
      <c r="B97" s="4">
        <v>43159</v>
      </c>
      <c r="C97" s="5">
        <v>0.87104166666666671</v>
      </c>
      <c r="D97" s="2">
        <f t="shared" si="3"/>
        <v>2018</v>
      </c>
    </row>
    <row r="98" spans="1:4" x14ac:dyDescent="0.3">
      <c r="A98" s="2" t="s">
        <v>1</v>
      </c>
      <c r="B98" s="4">
        <v>43151</v>
      </c>
      <c r="C98" s="5">
        <v>0.73553240740740744</v>
      </c>
      <c r="D98" s="2">
        <f t="shared" si="3"/>
        <v>2018</v>
      </c>
    </row>
    <row r="99" spans="1:4" x14ac:dyDescent="0.3">
      <c r="A99" s="2" t="s">
        <v>1</v>
      </c>
      <c r="B99" s="4">
        <v>43149</v>
      </c>
      <c r="C99" s="5">
        <v>0.4065509259259259</v>
      </c>
      <c r="D99" s="2">
        <f t="shared" si="3"/>
        <v>2018</v>
      </c>
    </row>
    <row r="100" spans="1:4" x14ac:dyDescent="0.3">
      <c r="A100" s="2" t="s">
        <v>0</v>
      </c>
      <c r="B100" s="4">
        <v>43148</v>
      </c>
      <c r="C100" s="5">
        <v>0.72346064814814814</v>
      </c>
      <c r="D100" s="2">
        <f t="shared" si="3"/>
        <v>2018</v>
      </c>
    </row>
    <row r="101" spans="1:4" x14ac:dyDescent="0.3">
      <c r="A101" s="2" t="s">
        <v>1</v>
      </c>
      <c r="B101" s="4">
        <v>43148</v>
      </c>
      <c r="C101" s="5">
        <v>0.85704861111111119</v>
      </c>
      <c r="D101" s="2">
        <f t="shared" si="3"/>
        <v>2018</v>
      </c>
    </row>
    <row r="102" spans="1:4" x14ac:dyDescent="0.3">
      <c r="A102" s="2" t="s">
        <v>1</v>
      </c>
      <c r="B102" s="4">
        <v>43148</v>
      </c>
      <c r="C102" s="5">
        <v>0.72827546296296297</v>
      </c>
      <c r="D102" s="2">
        <f t="shared" si="3"/>
        <v>2018</v>
      </c>
    </row>
    <row r="103" spans="1:4" x14ac:dyDescent="0.3">
      <c r="A103" s="2" t="s">
        <v>1</v>
      </c>
      <c r="B103" s="4">
        <v>43148</v>
      </c>
      <c r="C103" s="5">
        <v>0.72825231481481489</v>
      </c>
      <c r="D103" s="2">
        <f t="shared" si="3"/>
        <v>2018</v>
      </c>
    </row>
    <row r="104" spans="1:4" x14ac:dyDescent="0.3">
      <c r="A104" s="2" t="s">
        <v>1</v>
      </c>
      <c r="B104" s="4">
        <v>43145</v>
      </c>
      <c r="C104" s="5">
        <v>0.81678240740740737</v>
      </c>
      <c r="D104" s="2">
        <f t="shared" si="3"/>
        <v>2018</v>
      </c>
    </row>
    <row r="105" spans="1:4" x14ac:dyDescent="0.3">
      <c r="A105" s="2" t="s">
        <v>1</v>
      </c>
      <c r="B105" s="4">
        <v>43145</v>
      </c>
      <c r="C105" s="5">
        <v>0.6290162037037037</v>
      </c>
      <c r="D105" s="2">
        <f t="shared" si="3"/>
        <v>2018</v>
      </c>
    </row>
    <row r="106" spans="1:4" x14ac:dyDescent="0.3">
      <c r="A106" s="2" t="s">
        <v>1</v>
      </c>
      <c r="B106" s="4">
        <v>43145</v>
      </c>
      <c r="C106" s="5">
        <v>0.62900462962962966</v>
      </c>
      <c r="D106" s="2">
        <f t="shared" si="3"/>
        <v>2018</v>
      </c>
    </row>
    <row r="107" spans="1:4" x14ac:dyDescent="0.3">
      <c r="A107" s="2" t="s">
        <v>1</v>
      </c>
      <c r="B107" s="4">
        <v>43145</v>
      </c>
      <c r="C107" s="5">
        <v>0.62899305555555551</v>
      </c>
      <c r="D107" s="2">
        <f t="shared" si="3"/>
        <v>2018</v>
      </c>
    </row>
    <row r="108" spans="1:4" x14ac:dyDescent="0.3">
      <c r="A108" s="2" t="s">
        <v>1</v>
      </c>
      <c r="B108" s="4">
        <v>43145</v>
      </c>
      <c r="C108" s="5">
        <v>0.62898148148148147</v>
      </c>
      <c r="D108" s="2">
        <f t="shared" si="3"/>
        <v>2018</v>
      </c>
    </row>
    <row r="109" spans="1:4" x14ac:dyDescent="0.3">
      <c r="A109" s="2" t="s">
        <v>1</v>
      </c>
      <c r="B109" s="4">
        <v>43132</v>
      </c>
      <c r="C109" s="5">
        <v>0.95834490740740741</v>
      </c>
      <c r="D109" s="2">
        <f t="shared" si="3"/>
        <v>2018</v>
      </c>
    </row>
    <row r="110" spans="1:4" x14ac:dyDescent="0.3">
      <c r="A110" s="2" t="s">
        <v>1</v>
      </c>
      <c r="B110" s="4">
        <v>43132</v>
      </c>
      <c r="C110" s="5">
        <v>0.95833333333333337</v>
      </c>
      <c r="D110" s="2">
        <f t="shared" si="3"/>
        <v>2018</v>
      </c>
    </row>
    <row r="111" spans="1:4" x14ac:dyDescent="0.3">
      <c r="A111" s="2" t="s">
        <v>1</v>
      </c>
      <c r="B111" s="4">
        <v>43132</v>
      </c>
      <c r="C111" s="5">
        <v>0.95832175925925922</v>
      </c>
      <c r="D111" s="2">
        <f t="shared" si="3"/>
        <v>2018</v>
      </c>
    </row>
    <row r="112" spans="1:4" x14ac:dyDescent="0.3">
      <c r="A112" s="2" t="s">
        <v>1</v>
      </c>
      <c r="B112" s="4">
        <v>43102</v>
      </c>
      <c r="C112" s="5">
        <v>0.76223379629629628</v>
      </c>
      <c r="D112" s="2">
        <f t="shared" si="3"/>
        <v>2018</v>
      </c>
    </row>
    <row r="113" spans="1:4" x14ac:dyDescent="0.3">
      <c r="A113" s="2" t="s">
        <v>1</v>
      </c>
      <c r="B113" s="4">
        <v>43102</v>
      </c>
      <c r="C113" s="5">
        <v>0.76222222222222225</v>
      </c>
      <c r="D113" s="2">
        <f t="shared" si="3"/>
        <v>2018</v>
      </c>
    </row>
    <row r="114" spans="1:4" x14ac:dyDescent="0.3">
      <c r="A114" s="2" t="s">
        <v>1</v>
      </c>
      <c r="B114" s="4">
        <v>43102</v>
      </c>
      <c r="C114" s="5">
        <v>0.62968750000000007</v>
      </c>
      <c r="D114" s="2">
        <f t="shared" si="3"/>
        <v>2018</v>
      </c>
    </row>
    <row r="115" spans="1:4" x14ac:dyDescent="0.3">
      <c r="A115" s="2" t="s">
        <v>1</v>
      </c>
      <c r="B115" s="4">
        <v>43102</v>
      </c>
      <c r="C115" s="5">
        <v>0.62967592592592592</v>
      </c>
      <c r="D115" s="2">
        <f t="shared" si="3"/>
        <v>2018</v>
      </c>
    </row>
    <row r="116" spans="1:4" x14ac:dyDescent="0.3">
      <c r="A116" s="2" t="s">
        <v>1</v>
      </c>
      <c r="B116" s="4">
        <v>43098</v>
      </c>
      <c r="C116" s="5">
        <v>0.79962962962962969</v>
      </c>
      <c r="D116" s="2">
        <f t="shared" si="3"/>
        <v>2017</v>
      </c>
    </row>
    <row r="117" spans="1:4" x14ac:dyDescent="0.3">
      <c r="A117" s="2" t="s">
        <v>1</v>
      </c>
      <c r="B117" s="4">
        <v>43098</v>
      </c>
      <c r="C117" s="5">
        <v>0.7996064814814815</v>
      </c>
      <c r="D117" s="2">
        <f t="shared" si="3"/>
        <v>2017</v>
      </c>
    </row>
    <row r="118" spans="1:4" x14ac:dyDescent="0.3">
      <c r="A118" s="2" t="s">
        <v>1</v>
      </c>
      <c r="B118" s="4">
        <v>43096</v>
      </c>
      <c r="C118" s="5">
        <v>0.55081018518518521</v>
      </c>
      <c r="D118" s="2">
        <f t="shared" si="3"/>
        <v>2017</v>
      </c>
    </row>
    <row r="119" spans="1:4" x14ac:dyDescent="0.3">
      <c r="A119" s="2" t="s">
        <v>1</v>
      </c>
      <c r="B119" s="4">
        <v>43094</v>
      </c>
      <c r="C119" s="5">
        <v>0.37265046296296295</v>
      </c>
      <c r="D119" s="2">
        <f t="shared" si="3"/>
        <v>2017</v>
      </c>
    </row>
    <row r="120" spans="1:4" x14ac:dyDescent="0.3">
      <c r="A120" s="2" t="s">
        <v>1</v>
      </c>
      <c r="B120" s="4">
        <v>43092</v>
      </c>
      <c r="C120" s="5">
        <v>0.45074074074074072</v>
      </c>
      <c r="D120" s="2">
        <f t="shared" si="3"/>
        <v>2017</v>
      </c>
    </row>
    <row r="121" spans="1:4" x14ac:dyDescent="0.3">
      <c r="A121" s="2" t="s">
        <v>1</v>
      </c>
      <c r="B121" s="4">
        <v>43091</v>
      </c>
      <c r="C121" s="5">
        <v>0.87193287037037026</v>
      </c>
      <c r="D121" s="2">
        <f t="shared" si="3"/>
        <v>2017</v>
      </c>
    </row>
    <row r="122" spans="1:4" x14ac:dyDescent="0.3">
      <c r="A122" s="2" t="s">
        <v>1</v>
      </c>
      <c r="B122" s="4">
        <v>43091</v>
      </c>
      <c r="C122" s="5">
        <v>0.48831018518518521</v>
      </c>
      <c r="D122" s="2">
        <f t="shared" si="3"/>
        <v>2017</v>
      </c>
    </row>
    <row r="123" spans="1:4" x14ac:dyDescent="0.3">
      <c r="A123" s="2" t="s">
        <v>1</v>
      </c>
      <c r="B123" s="4">
        <v>43086</v>
      </c>
      <c r="C123" s="5">
        <v>0.4997685185185185</v>
      </c>
      <c r="D123" s="2">
        <f t="shared" si="3"/>
        <v>2017</v>
      </c>
    </row>
    <row r="124" spans="1:4" x14ac:dyDescent="0.3">
      <c r="A124" s="2" t="s">
        <v>1</v>
      </c>
      <c r="B124" s="4">
        <v>43060</v>
      </c>
      <c r="C124" s="5">
        <v>0.68203703703703711</v>
      </c>
      <c r="D124" s="2">
        <f t="shared" si="3"/>
        <v>2017</v>
      </c>
    </row>
    <row r="125" spans="1:4" x14ac:dyDescent="0.3">
      <c r="A125" s="2" t="s">
        <v>1</v>
      </c>
      <c r="B125" s="4">
        <v>43060</v>
      </c>
      <c r="C125" s="5">
        <v>0.68202546296296296</v>
      </c>
      <c r="D125" s="2">
        <f t="shared" si="3"/>
        <v>2017</v>
      </c>
    </row>
    <row r="126" spans="1:4" x14ac:dyDescent="0.3">
      <c r="A126" s="2" t="s">
        <v>1</v>
      </c>
      <c r="B126" s="4">
        <v>43059</v>
      </c>
      <c r="C126" s="5">
        <v>0.65222222222222226</v>
      </c>
      <c r="D126" s="2">
        <f t="shared" si="3"/>
        <v>2017</v>
      </c>
    </row>
    <row r="127" spans="1:4" x14ac:dyDescent="0.3">
      <c r="A127" s="2" t="s">
        <v>1</v>
      </c>
      <c r="B127" s="4">
        <v>43052</v>
      </c>
      <c r="C127" s="5">
        <v>0.50758101851851845</v>
      </c>
      <c r="D127" s="2">
        <f t="shared" si="3"/>
        <v>2017</v>
      </c>
    </row>
    <row r="128" spans="1:4" x14ac:dyDescent="0.3">
      <c r="A128" s="2" t="s">
        <v>1</v>
      </c>
      <c r="B128" s="4">
        <v>43040</v>
      </c>
      <c r="C128" s="5">
        <v>0.85508101851851848</v>
      </c>
      <c r="D128" s="2">
        <f t="shared" si="3"/>
        <v>2017</v>
      </c>
    </row>
    <row r="129" spans="1:4" x14ac:dyDescent="0.3">
      <c r="A129" s="2" t="s">
        <v>1</v>
      </c>
      <c r="B129" s="4">
        <v>43039</v>
      </c>
      <c r="C129" s="5">
        <v>0.45637731481481486</v>
      </c>
      <c r="D129" s="2">
        <f t="shared" si="3"/>
        <v>2017</v>
      </c>
    </row>
    <row r="130" spans="1:4" x14ac:dyDescent="0.3">
      <c r="A130" s="2" t="s">
        <v>1</v>
      </c>
      <c r="B130" s="4">
        <v>43001</v>
      </c>
      <c r="C130" s="5">
        <v>0.55571759259259257</v>
      </c>
      <c r="D130" s="2">
        <f t="shared" si="3"/>
        <v>2017</v>
      </c>
    </row>
    <row r="131" spans="1:4" x14ac:dyDescent="0.3">
      <c r="A131" s="2" t="s">
        <v>1</v>
      </c>
      <c r="B131" s="4">
        <v>43001</v>
      </c>
      <c r="C131" s="5">
        <v>0.55570601851851853</v>
      </c>
      <c r="D131" s="2">
        <f t="shared" ref="D131:D194" si="4">YEAR(B131)</f>
        <v>2017</v>
      </c>
    </row>
    <row r="132" spans="1:4" x14ac:dyDescent="0.3">
      <c r="A132" s="2" t="s">
        <v>1</v>
      </c>
      <c r="B132" s="4">
        <v>42997</v>
      </c>
      <c r="C132" s="5">
        <v>0.73855324074074069</v>
      </c>
      <c r="D132" s="2">
        <f t="shared" si="4"/>
        <v>2017</v>
      </c>
    </row>
    <row r="133" spans="1:4" x14ac:dyDescent="0.3">
      <c r="A133" s="2" t="s">
        <v>1</v>
      </c>
      <c r="B133" s="4">
        <v>42990</v>
      </c>
      <c r="C133" s="5">
        <v>0.87611111111111117</v>
      </c>
      <c r="D133" s="2">
        <f t="shared" si="4"/>
        <v>2017</v>
      </c>
    </row>
    <row r="134" spans="1:4" x14ac:dyDescent="0.3">
      <c r="A134" s="2" t="s">
        <v>1</v>
      </c>
      <c r="B134" s="4">
        <v>42990</v>
      </c>
      <c r="C134" s="5">
        <v>0.67586805555555562</v>
      </c>
      <c r="D134" s="2">
        <f t="shared" si="4"/>
        <v>2017</v>
      </c>
    </row>
    <row r="135" spans="1:4" x14ac:dyDescent="0.3">
      <c r="A135" s="2" t="s">
        <v>1</v>
      </c>
      <c r="B135" s="4">
        <v>42983</v>
      </c>
      <c r="C135" s="5">
        <v>0.52149305555555558</v>
      </c>
      <c r="D135" s="2">
        <f t="shared" si="4"/>
        <v>2017</v>
      </c>
    </row>
    <row r="136" spans="1:4" x14ac:dyDescent="0.3">
      <c r="A136" s="2" t="s">
        <v>1</v>
      </c>
      <c r="B136" s="4">
        <v>42978</v>
      </c>
      <c r="C136" s="5">
        <v>0.76686342592592593</v>
      </c>
      <c r="D136" s="2">
        <f t="shared" si="4"/>
        <v>2017</v>
      </c>
    </row>
    <row r="137" spans="1:4" x14ac:dyDescent="0.3">
      <c r="A137" s="2" t="s">
        <v>1</v>
      </c>
      <c r="B137" s="4">
        <v>42978</v>
      </c>
      <c r="C137" s="5">
        <v>0.76681712962962967</v>
      </c>
      <c r="D137" s="2">
        <f t="shared" si="4"/>
        <v>2017</v>
      </c>
    </row>
    <row r="138" spans="1:4" x14ac:dyDescent="0.3">
      <c r="A138" s="2" t="s">
        <v>1</v>
      </c>
      <c r="B138" s="4">
        <v>42978</v>
      </c>
      <c r="C138" s="5">
        <v>0.76674768518518521</v>
      </c>
      <c r="D138" s="2">
        <f t="shared" si="4"/>
        <v>2017</v>
      </c>
    </row>
    <row r="139" spans="1:4" x14ac:dyDescent="0.3">
      <c r="A139" s="2" t="s">
        <v>1</v>
      </c>
      <c r="B139" s="4">
        <v>42970</v>
      </c>
      <c r="C139" s="5">
        <v>0.68670138888888888</v>
      </c>
      <c r="D139" s="2">
        <f t="shared" si="4"/>
        <v>2017</v>
      </c>
    </row>
    <row r="140" spans="1:4" x14ac:dyDescent="0.3">
      <c r="A140" s="2" t="s">
        <v>1</v>
      </c>
      <c r="B140" s="4">
        <v>42967</v>
      </c>
      <c r="C140" s="5">
        <v>0.79883101851851857</v>
      </c>
      <c r="D140" s="2">
        <f t="shared" si="4"/>
        <v>2017</v>
      </c>
    </row>
    <row r="141" spans="1:4" x14ac:dyDescent="0.3">
      <c r="A141" s="2" t="s">
        <v>1</v>
      </c>
      <c r="B141" s="4">
        <v>42967</v>
      </c>
      <c r="C141" s="5">
        <v>0.5626620370370371</v>
      </c>
      <c r="D141" s="2">
        <f t="shared" si="4"/>
        <v>2017</v>
      </c>
    </row>
    <row r="142" spans="1:4" x14ac:dyDescent="0.3">
      <c r="A142" s="2" t="s">
        <v>1</v>
      </c>
      <c r="B142" s="4">
        <v>42966</v>
      </c>
      <c r="C142" s="5">
        <v>0.36035879629629625</v>
      </c>
      <c r="D142" s="2">
        <f t="shared" si="4"/>
        <v>2017</v>
      </c>
    </row>
    <row r="143" spans="1:4" x14ac:dyDescent="0.3">
      <c r="A143" s="2" t="s">
        <v>1</v>
      </c>
      <c r="B143" s="4">
        <v>42966</v>
      </c>
      <c r="C143" s="5">
        <v>0.36032407407407407</v>
      </c>
      <c r="D143" s="2">
        <f t="shared" si="4"/>
        <v>2017</v>
      </c>
    </row>
    <row r="144" spans="1:4" x14ac:dyDescent="0.3">
      <c r="A144" s="2" t="s">
        <v>1</v>
      </c>
      <c r="B144" s="4">
        <v>42966</v>
      </c>
      <c r="C144" s="5">
        <v>0.36027777777777775</v>
      </c>
      <c r="D144" s="2">
        <f t="shared" si="4"/>
        <v>2017</v>
      </c>
    </row>
    <row r="145" spans="1:4" x14ac:dyDescent="0.3">
      <c r="A145" s="2" t="s">
        <v>1</v>
      </c>
      <c r="B145" s="4">
        <v>42966</v>
      </c>
      <c r="C145" s="5">
        <v>0.36024305555555558</v>
      </c>
      <c r="D145" s="2">
        <f t="shared" si="4"/>
        <v>2017</v>
      </c>
    </row>
    <row r="146" spans="1:4" x14ac:dyDescent="0.3">
      <c r="A146" s="2" t="s">
        <v>1</v>
      </c>
      <c r="B146" s="4">
        <v>42966</v>
      </c>
      <c r="C146" s="5">
        <v>0.3602083333333333</v>
      </c>
      <c r="D146" s="2">
        <f t="shared" si="4"/>
        <v>2017</v>
      </c>
    </row>
    <row r="147" spans="1:4" x14ac:dyDescent="0.3">
      <c r="A147" s="2" t="s">
        <v>1</v>
      </c>
      <c r="B147" s="4">
        <v>42962</v>
      </c>
      <c r="C147" s="5">
        <v>0.32072916666666668</v>
      </c>
      <c r="D147" s="2">
        <f t="shared" si="4"/>
        <v>2017</v>
      </c>
    </row>
    <row r="148" spans="1:4" x14ac:dyDescent="0.3">
      <c r="A148" s="2" t="s">
        <v>1</v>
      </c>
      <c r="B148" s="4">
        <v>42961</v>
      </c>
      <c r="C148" s="5">
        <v>0.6033680555555555</v>
      </c>
      <c r="D148" s="2">
        <f t="shared" si="4"/>
        <v>2017</v>
      </c>
    </row>
    <row r="149" spans="1:4" x14ac:dyDescent="0.3">
      <c r="A149" s="2" t="s">
        <v>1</v>
      </c>
      <c r="B149" s="4">
        <v>42960</v>
      </c>
      <c r="C149" s="5">
        <v>0.95894675925925921</v>
      </c>
      <c r="D149" s="2">
        <f t="shared" si="4"/>
        <v>2017</v>
      </c>
    </row>
    <row r="150" spans="1:4" x14ac:dyDescent="0.3">
      <c r="A150" s="2" t="s">
        <v>1</v>
      </c>
      <c r="B150" s="4">
        <v>42960</v>
      </c>
      <c r="C150" s="5">
        <v>0.95892361111111113</v>
      </c>
      <c r="D150" s="2">
        <f t="shared" si="4"/>
        <v>2017</v>
      </c>
    </row>
    <row r="151" spans="1:4" x14ac:dyDescent="0.3">
      <c r="A151" s="2" t="s">
        <v>1</v>
      </c>
      <c r="B151" s="4">
        <v>42960</v>
      </c>
      <c r="C151" s="5">
        <v>0.95888888888888879</v>
      </c>
      <c r="D151" s="2">
        <f t="shared" si="4"/>
        <v>2017</v>
      </c>
    </row>
    <row r="152" spans="1:4" x14ac:dyDescent="0.3">
      <c r="A152" s="2" t="s">
        <v>1</v>
      </c>
      <c r="B152" s="4">
        <v>42960</v>
      </c>
      <c r="C152" s="5">
        <v>0.84226851851851858</v>
      </c>
      <c r="D152" s="2">
        <f t="shared" si="4"/>
        <v>2017</v>
      </c>
    </row>
    <row r="153" spans="1:4" x14ac:dyDescent="0.3">
      <c r="A153" s="2" t="s">
        <v>1</v>
      </c>
      <c r="B153" s="4">
        <v>42960</v>
      </c>
      <c r="C153" s="5">
        <v>0.33627314814814818</v>
      </c>
      <c r="D153" s="2">
        <f t="shared" si="4"/>
        <v>2017</v>
      </c>
    </row>
    <row r="154" spans="1:4" x14ac:dyDescent="0.3">
      <c r="A154" s="2" t="s">
        <v>1</v>
      </c>
      <c r="B154" s="4">
        <v>42959</v>
      </c>
      <c r="C154" s="5">
        <v>0.72192129629629631</v>
      </c>
      <c r="D154" s="2">
        <f t="shared" si="4"/>
        <v>2017</v>
      </c>
    </row>
    <row r="155" spans="1:4" x14ac:dyDescent="0.3">
      <c r="A155" s="2" t="s">
        <v>1</v>
      </c>
      <c r="B155" s="4">
        <v>42959</v>
      </c>
      <c r="C155" s="5">
        <v>0.63359953703703698</v>
      </c>
      <c r="D155" s="2">
        <f t="shared" si="4"/>
        <v>2017</v>
      </c>
    </row>
    <row r="156" spans="1:4" x14ac:dyDescent="0.3">
      <c r="A156" s="2" t="s">
        <v>1</v>
      </c>
      <c r="B156" s="4">
        <v>42950</v>
      </c>
      <c r="C156" s="5">
        <v>0.80333333333333334</v>
      </c>
      <c r="D156" s="2">
        <f t="shared" si="4"/>
        <v>2017</v>
      </c>
    </row>
    <row r="157" spans="1:4" x14ac:dyDescent="0.3">
      <c r="A157" s="2" t="s">
        <v>3</v>
      </c>
      <c r="B157" s="4">
        <v>42947</v>
      </c>
      <c r="C157" s="5">
        <v>0.64915509259259252</v>
      </c>
      <c r="D157" s="2">
        <f t="shared" si="4"/>
        <v>2017</v>
      </c>
    </row>
    <row r="158" spans="1:4" x14ac:dyDescent="0.3">
      <c r="A158" s="2" t="s">
        <v>1</v>
      </c>
      <c r="B158" s="4">
        <v>42941</v>
      </c>
      <c r="C158" s="5">
        <v>0.35364583333333338</v>
      </c>
      <c r="D158" s="2">
        <f t="shared" si="4"/>
        <v>2017</v>
      </c>
    </row>
    <row r="159" spans="1:4" x14ac:dyDescent="0.3">
      <c r="A159" s="2" t="s">
        <v>1</v>
      </c>
      <c r="B159" s="4">
        <v>42940</v>
      </c>
      <c r="C159" s="5">
        <v>0.65824074074074079</v>
      </c>
      <c r="D159" s="2">
        <f t="shared" si="4"/>
        <v>2017</v>
      </c>
    </row>
    <row r="160" spans="1:4" x14ac:dyDescent="0.3">
      <c r="A160" s="2" t="s">
        <v>1</v>
      </c>
      <c r="B160" s="4">
        <v>42939</v>
      </c>
      <c r="C160" s="5">
        <v>0.90516203703703713</v>
      </c>
      <c r="D160" s="2">
        <f t="shared" si="4"/>
        <v>2017</v>
      </c>
    </row>
    <row r="161" spans="1:4" x14ac:dyDescent="0.3">
      <c r="A161" s="2" t="s">
        <v>1</v>
      </c>
      <c r="B161" s="4">
        <v>42935</v>
      </c>
      <c r="C161" s="5">
        <v>0.86447916666666658</v>
      </c>
      <c r="D161" s="2">
        <f t="shared" si="4"/>
        <v>2017</v>
      </c>
    </row>
    <row r="162" spans="1:4" x14ac:dyDescent="0.3">
      <c r="A162" s="2" t="s">
        <v>1</v>
      </c>
      <c r="B162" s="4">
        <v>42935</v>
      </c>
      <c r="C162" s="5">
        <v>0.34153935185185186</v>
      </c>
      <c r="D162" s="2">
        <f t="shared" si="4"/>
        <v>2017</v>
      </c>
    </row>
    <row r="163" spans="1:4" x14ac:dyDescent="0.3">
      <c r="A163" s="2" t="s">
        <v>1</v>
      </c>
      <c r="B163" s="4">
        <v>42934</v>
      </c>
      <c r="C163" s="5">
        <v>0.90848379629629628</v>
      </c>
      <c r="D163" s="2">
        <f t="shared" si="4"/>
        <v>2017</v>
      </c>
    </row>
    <row r="164" spans="1:4" x14ac:dyDescent="0.3">
      <c r="A164" s="2" t="s">
        <v>1</v>
      </c>
      <c r="B164" s="4">
        <v>42932</v>
      </c>
      <c r="C164" s="5">
        <v>0.6337962962962963</v>
      </c>
      <c r="D164" s="2">
        <f t="shared" si="4"/>
        <v>2017</v>
      </c>
    </row>
    <row r="165" spans="1:4" x14ac:dyDescent="0.3">
      <c r="A165" s="2" t="s">
        <v>1</v>
      </c>
      <c r="B165" s="4">
        <v>42931</v>
      </c>
      <c r="C165" s="5">
        <v>0.50082175925925931</v>
      </c>
      <c r="D165" s="2">
        <f t="shared" si="4"/>
        <v>2017</v>
      </c>
    </row>
    <row r="166" spans="1:4" x14ac:dyDescent="0.3">
      <c r="A166" s="2" t="s">
        <v>1</v>
      </c>
      <c r="B166" s="4">
        <v>42928</v>
      </c>
      <c r="C166" s="5">
        <v>0.49025462962962968</v>
      </c>
      <c r="D166" s="2">
        <f t="shared" si="4"/>
        <v>2017</v>
      </c>
    </row>
    <row r="167" spans="1:4" x14ac:dyDescent="0.3">
      <c r="A167" s="2" t="s">
        <v>1</v>
      </c>
      <c r="B167" s="4">
        <v>42918</v>
      </c>
      <c r="C167" s="5">
        <v>0.59305555555555556</v>
      </c>
      <c r="D167" s="2">
        <f t="shared" si="4"/>
        <v>2017</v>
      </c>
    </row>
    <row r="168" spans="1:4" x14ac:dyDescent="0.3">
      <c r="A168" s="2" t="s">
        <v>1</v>
      </c>
      <c r="B168" s="4">
        <v>42917</v>
      </c>
      <c r="C168" s="5">
        <v>0.85883101851851851</v>
      </c>
      <c r="D168" s="2">
        <f t="shared" si="4"/>
        <v>2017</v>
      </c>
    </row>
    <row r="169" spans="1:4" x14ac:dyDescent="0.3">
      <c r="A169" s="2" t="s">
        <v>1</v>
      </c>
      <c r="B169" s="4">
        <v>42916</v>
      </c>
      <c r="C169" s="5">
        <v>0.47021990740740738</v>
      </c>
      <c r="D169" s="2">
        <f t="shared" si="4"/>
        <v>2017</v>
      </c>
    </row>
    <row r="170" spans="1:4" x14ac:dyDescent="0.3">
      <c r="A170" s="2" t="s">
        <v>1</v>
      </c>
      <c r="B170" s="4">
        <v>42915</v>
      </c>
      <c r="C170" s="5">
        <v>0.65946759259259258</v>
      </c>
      <c r="D170" s="2">
        <f t="shared" si="4"/>
        <v>2017</v>
      </c>
    </row>
    <row r="171" spans="1:4" x14ac:dyDescent="0.3">
      <c r="A171" s="2" t="s">
        <v>1</v>
      </c>
      <c r="B171" s="4">
        <v>42913</v>
      </c>
      <c r="C171" s="5">
        <v>0.74642361111111111</v>
      </c>
      <c r="D171" s="2">
        <f t="shared" si="4"/>
        <v>2017</v>
      </c>
    </row>
    <row r="172" spans="1:4" x14ac:dyDescent="0.3">
      <c r="A172" s="2" t="s">
        <v>1</v>
      </c>
      <c r="B172" s="4">
        <v>42912</v>
      </c>
      <c r="C172" s="5">
        <v>0.91410879629629627</v>
      </c>
      <c r="D172" s="2">
        <f t="shared" si="4"/>
        <v>2017</v>
      </c>
    </row>
    <row r="173" spans="1:4" x14ac:dyDescent="0.3">
      <c r="A173" s="2" t="s">
        <v>1</v>
      </c>
      <c r="B173" s="4">
        <v>42895</v>
      </c>
      <c r="C173" s="5">
        <v>0.55371527777777774</v>
      </c>
      <c r="D173" s="2">
        <f t="shared" si="4"/>
        <v>2017</v>
      </c>
    </row>
    <row r="174" spans="1:4" x14ac:dyDescent="0.3">
      <c r="A174" s="2" t="s">
        <v>1</v>
      </c>
      <c r="B174" s="4">
        <v>42894</v>
      </c>
      <c r="C174" s="5">
        <v>0.84392361111111114</v>
      </c>
      <c r="D174" s="2">
        <f t="shared" si="4"/>
        <v>2017</v>
      </c>
    </row>
    <row r="175" spans="1:4" x14ac:dyDescent="0.3">
      <c r="A175" s="2" t="s">
        <v>1</v>
      </c>
      <c r="B175" s="4">
        <v>42884</v>
      </c>
      <c r="C175" s="5">
        <v>0.45394675925925926</v>
      </c>
      <c r="D175" s="2">
        <f t="shared" si="4"/>
        <v>2017</v>
      </c>
    </row>
    <row r="176" spans="1:4" x14ac:dyDescent="0.3">
      <c r="A176" s="2" t="s">
        <v>1</v>
      </c>
      <c r="B176" s="4">
        <v>42858</v>
      </c>
      <c r="C176" s="5">
        <v>0.66342592592592597</v>
      </c>
      <c r="D176" s="2">
        <f t="shared" si="4"/>
        <v>2017</v>
      </c>
    </row>
    <row r="177" spans="1:4" x14ac:dyDescent="0.3">
      <c r="A177" s="2" t="s">
        <v>1</v>
      </c>
      <c r="B177" s="4">
        <v>42857</v>
      </c>
      <c r="C177" s="5">
        <v>0.4950694444444444</v>
      </c>
      <c r="D177" s="2">
        <f t="shared" si="4"/>
        <v>2017</v>
      </c>
    </row>
    <row r="178" spans="1:4" x14ac:dyDescent="0.3">
      <c r="A178" s="2" t="s">
        <v>1</v>
      </c>
      <c r="B178" s="4">
        <v>42854</v>
      </c>
      <c r="C178" s="5">
        <v>0.91361111111111104</v>
      </c>
      <c r="D178" s="2">
        <f t="shared" si="4"/>
        <v>2017</v>
      </c>
    </row>
    <row r="179" spans="1:4" x14ac:dyDescent="0.3">
      <c r="A179" s="2" t="s">
        <v>1</v>
      </c>
      <c r="B179" s="4">
        <v>42854</v>
      </c>
      <c r="C179" s="5">
        <v>0.69444444444444453</v>
      </c>
      <c r="D179" s="2">
        <f t="shared" si="4"/>
        <v>2017</v>
      </c>
    </row>
    <row r="180" spans="1:4" x14ac:dyDescent="0.3">
      <c r="A180" s="2" t="s">
        <v>1</v>
      </c>
      <c r="B180" s="4">
        <v>42853</v>
      </c>
      <c r="C180" s="5">
        <v>0.76901620370370372</v>
      </c>
      <c r="D180" s="2">
        <f t="shared" si="4"/>
        <v>2017</v>
      </c>
    </row>
    <row r="181" spans="1:4" x14ac:dyDescent="0.3">
      <c r="A181" s="2" t="s">
        <v>1</v>
      </c>
      <c r="B181" s="4">
        <v>42853</v>
      </c>
      <c r="C181" s="5">
        <v>0.36414351851851851</v>
      </c>
      <c r="D181" s="2">
        <f t="shared" si="4"/>
        <v>2017</v>
      </c>
    </row>
    <row r="182" spans="1:4" x14ac:dyDescent="0.3">
      <c r="A182" s="2" t="s">
        <v>1</v>
      </c>
      <c r="B182" s="4">
        <v>42841</v>
      </c>
      <c r="C182" s="5">
        <v>0.62737268518518519</v>
      </c>
      <c r="D182" s="2">
        <f t="shared" si="4"/>
        <v>2017</v>
      </c>
    </row>
    <row r="183" spans="1:4" x14ac:dyDescent="0.3">
      <c r="A183" s="2" t="s">
        <v>1</v>
      </c>
      <c r="B183" s="4">
        <v>42841</v>
      </c>
      <c r="C183" s="5">
        <v>0.34944444444444445</v>
      </c>
      <c r="D183" s="2">
        <f t="shared" si="4"/>
        <v>2017</v>
      </c>
    </row>
    <row r="184" spans="1:4" x14ac:dyDescent="0.3">
      <c r="A184" s="2" t="s">
        <v>1</v>
      </c>
      <c r="B184" s="4">
        <v>42834</v>
      </c>
      <c r="C184" s="5">
        <v>0.48424768518518518</v>
      </c>
      <c r="D184" s="2">
        <f t="shared" si="4"/>
        <v>2017</v>
      </c>
    </row>
    <row r="185" spans="1:4" x14ac:dyDescent="0.3">
      <c r="A185" s="2" t="s">
        <v>1</v>
      </c>
      <c r="B185" s="4">
        <v>42826</v>
      </c>
      <c r="C185" s="5">
        <v>0.71418981481481481</v>
      </c>
      <c r="D185" s="2">
        <f t="shared" si="4"/>
        <v>2017</v>
      </c>
    </row>
    <row r="186" spans="1:4" x14ac:dyDescent="0.3">
      <c r="A186" s="2" t="s">
        <v>1</v>
      </c>
      <c r="B186" s="4">
        <v>42824</v>
      </c>
      <c r="C186" s="5">
        <v>0.83907407407407408</v>
      </c>
      <c r="D186" s="2">
        <f t="shared" si="4"/>
        <v>2017</v>
      </c>
    </row>
    <row r="187" spans="1:4" x14ac:dyDescent="0.3">
      <c r="A187" s="2" t="s">
        <v>1</v>
      </c>
      <c r="B187" s="4">
        <v>42824</v>
      </c>
      <c r="C187" s="5">
        <v>0.83905092592592589</v>
      </c>
      <c r="D187" s="2">
        <f t="shared" si="4"/>
        <v>2017</v>
      </c>
    </row>
    <row r="188" spans="1:4" x14ac:dyDescent="0.3">
      <c r="A188" s="2" t="s">
        <v>1</v>
      </c>
      <c r="B188" s="4">
        <v>42803</v>
      </c>
      <c r="C188" s="5">
        <v>0.89112268518518523</v>
      </c>
      <c r="D188" s="2">
        <f t="shared" si="4"/>
        <v>2017</v>
      </c>
    </row>
    <row r="189" spans="1:4" x14ac:dyDescent="0.3">
      <c r="A189" s="2" t="s">
        <v>1</v>
      </c>
      <c r="B189" s="4">
        <v>42803</v>
      </c>
      <c r="C189" s="5">
        <v>4.5370370370370365E-3</v>
      </c>
      <c r="D189" s="2">
        <f t="shared" si="4"/>
        <v>2017</v>
      </c>
    </row>
    <row r="190" spans="1:4" x14ac:dyDescent="0.3">
      <c r="A190" s="2" t="s">
        <v>1</v>
      </c>
      <c r="B190" s="4">
        <v>42802</v>
      </c>
      <c r="C190" s="5">
        <v>0.64333333333333331</v>
      </c>
      <c r="D190" s="2">
        <f t="shared" si="4"/>
        <v>2017</v>
      </c>
    </row>
    <row r="191" spans="1:4" x14ac:dyDescent="0.3">
      <c r="A191" s="2" t="s">
        <v>1</v>
      </c>
      <c r="B191" s="4">
        <v>42776</v>
      </c>
      <c r="C191" s="5">
        <v>0.8297106481481481</v>
      </c>
      <c r="D191" s="2">
        <f t="shared" si="4"/>
        <v>2017</v>
      </c>
    </row>
    <row r="192" spans="1:4" x14ac:dyDescent="0.3">
      <c r="A192" s="2" t="s">
        <v>1</v>
      </c>
      <c r="B192" s="4">
        <v>42773</v>
      </c>
      <c r="C192" s="5">
        <v>0.91829861111111111</v>
      </c>
      <c r="D192" s="2">
        <f t="shared" si="4"/>
        <v>2017</v>
      </c>
    </row>
    <row r="193" spans="1:4" x14ac:dyDescent="0.3">
      <c r="A193" s="2" t="s">
        <v>1</v>
      </c>
      <c r="B193" s="4">
        <v>42757</v>
      </c>
      <c r="C193" s="5">
        <v>0.5339814814814815</v>
      </c>
      <c r="D193" s="2">
        <f t="shared" si="4"/>
        <v>2017</v>
      </c>
    </row>
    <row r="194" spans="1:4" x14ac:dyDescent="0.3">
      <c r="A194" s="2" t="s">
        <v>1</v>
      </c>
      <c r="B194" s="4">
        <v>42742</v>
      </c>
      <c r="C194" s="5">
        <v>0.89670138888888884</v>
      </c>
      <c r="D194" s="2">
        <f t="shared" si="4"/>
        <v>2017</v>
      </c>
    </row>
    <row r="195" spans="1:4" x14ac:dyDescent="0.3">
      <c r="A195" s="2" t="s">
        <v>1</v>
      </c>
      <c r="B195" s="4">
        <v>42741</v>
      </c>
      <c r="C195" s="5">
        <v>0.70201388888888883</v>
      </c>
      <c r="D195" s="2">
        <f t="shared" ref="D195:D258" si="5">YEAR(B195)</f>
        <v>2017</v>
      </c>
    </row>
    <row r="196" spans="1:4" x14ac:dyDescent="0.3">
      <c r="A196" s="2" t="s">
        <v>1</v>
      </c>
      <c r="B196" s="4">
        <v>42740</v>
      </c>
      <c r="C196" s="5">
        <v>0.9786921296296297</v>
      </c>
      <c r="D196" s="2">
        <f t="shared" si="5"/>
        <v>2017</v>
      </c>
    </row>
    <row r="197" spans="1:4" x14ac:dyDescent="0.3">
      <c r="A197" s="2" t="s">
        <v>1</v>
      </c>
      <c r="B197" s="4">
        <v>42739</v>
      </c>
      <c r="C197" s="5">
        <v>0.99671296296296286</v>
      </c>
      <c r="D197" s="2">
        <f t="shared" si="5"/>
        <v>2017</v>
      </c>
    </row>
    <row r="198" spans="1:4" x14ac:dyDescent="0.3">
      <c r="A198" s="2" t="s">
        <v>1</v>
      </c>
      <c r="B198" s="4">
        <v>42739</v>
      </c>
      <c r="C198" s="5">
        <v>0.6912152777777778</v>
      </c>
      <c r="D198" s="2">
        <f t="shared" si="5"/>
        <v>2017</v>
      </c>
    </row>
    <row r="199" spans="1:4" x14ac:dyDescent="0.3">
      <c r="A199" s="2" t="s">
        <v>1</v>
      </c>
      <c r="B199" s="4">
        <v>42738</v>
      </c>
      <c r="C199" s="5">
        <v>0.99224537037037042</v>
      </c>
      <c r="D199" s="2">
        <f t="shared" si="5"/>
        <v>2017</v>
      </c>
    </row>
    <row r="200" spans="1:4" x14ac:dyDescent="0.3">
      <c r="A200" s="2" t="s">
        <v>1</v>
      </c>
      <c r="B200" s="4">
        <v>42736</v>
      </c>
      <c r="C200" s="5">
        <v>0.59519675925925919</v>
      </c>
      <c r="D200" s="2">
        <f t="shared" si="5"/>
        <v>2017</v>
      </c>
    </row>
    <row r="201" spans="1:4" x14ac:dyDescent="0.3">
      <c r="A201" s="2" t="s">
        <v>1</v>
      </c>
      <c r="B201" s="4">
        <v>42731</v>
      </c>
      <c r="C201" s="5">
        <v>9.1550925925925931E-3</v>
      </c>
      <c r="D201" s="2">
        <f t="shared" si="5"/>
        <v>2016</v>
      </c>
    </row>
    <row r="202" spans="1:4" x14ac:dyDescent="0.3">
      <c r="A202" s="2" t="s">
        <v>1</v>
      </c>
      <c r="B202" s="4">
        <v>42709</v>
      </c>
      <c r="C202" s="5">
        <v>0.85890046296296296</v>
      </c>
      <c r="D202" s="2">
        <f t="shared" si="5"/>
        <v>2016</v>
      </c>
    </row>
    <row r="203" spans="1:4" x14ac:dyDescent="0.3">
      <c r="A203" s="2" t="s">
        <v>1</v>
      </c>
      <c r="B203" s="4">
        <v>42709</v>
      </c>
      <c r="C203" s="5">
        <v>0.38309027777777777</v>
      </c>
      <c r="D203" s="2">
        <f t="shared" si="5"/>
        <v>2016</v>
      </c>
    </row>
    <row r="204" spans="1:4" x14ac:dyDescent="0.3">
      <c r="A204" s="2" t="s">
        <v>1</v>
      </c>
      <c r="B204" s="4">
        <v>42708</v>
      </c>
      <c r="C204" s="5">
        <v>0.75534722222222228</v>
      </c>
      <c r="D204" s="2">
        <f t="shared" si="5"/>
        <v>2016</v>
      </c>
    </row>
    <row r="205" spans="1:4" x14ac:dyDescent="0.3">
      <c r="A205" s="2" t="s">
        <v>1</v>
      </c>
      <c r="B205" s="4">
        <v>42708</v>
      </c>
      <c r="C205" s="5">
        <v>0.6702662037037036</v>
      </c>
      <c r="D205" s="2">
        <f t="shared" si="5"/>
        <v>2016</v>
      </c>
    </row>
    <row r="206" spans="1:4" x14ac:dyDescent="0.3">
      <c r="A206" s="2" t="s">
        <v>1</v>
      </c>
      <c r="B206" s="4">
        <v>42708</v>
      </c>
      <c r="C206" s="5">
        <v>0.57939814814814816</v>
      </c>
      <c r="D206" s="2">
        <f t="shared" si="5"/>
        <v>2016</v>
      </c>
    </row>
    <row r="207" spans="1:4" x14ac:dyDescent="0.3">
      <c r="A207" s="2" t="s">
        <v>1</v>
      </c>
      <c r="B207" s="4">
        <v>42700</v>
      </c>
      <c r="C207" s="5">
        <v>0.97550925925925924</v>
      </c>
      <c r="D207" s="2">
        <f t="shared" si="5"/>
        <v>2016</v>
      </c>
    </row>
    <row r="208" spans="1:4" x14ac:dyDescent="0.3">
      <c r="A208" s="2" t="s">
        <v>1</v>
      </c>
      <c r="B208" s="4">
        <v>42673</v>
      </c>
      <c r="C208" s="5">
        <v>0.90449074074074076</v>
      </c>
      <c r="D208" s="2">
        <f t="shared" si="5"/>
        <v>2016</v>
      </c>
    </row>
    <row r="209" spans="1:4" x14ac:dyDescent="0.3">
      <c r="A209" s="2" t="s">
        <v>1</v>
      </c>
      <c r="B209" s="4">
        <v>42672</v>
      </c>
      <c r="C209" s="5">
        <v>0.96373842592592596</v>
      </c>
      <c r="D209" s="2">
        <f t="shared" si="5"/>
        <v>2016</v>
      </c>
    </row>
    <row r="210" spans="1:4" x14ac:dyDescent="0.3">
      <c r="A210" s="2" t="s">
        <v>1</v>
      </c>
      <c r="B210" s="4">
        <v>42637</v>
      </c>
      <c r="C210" s="5">
        <v>0.93336805555555558</v>
      </c>
      <c r="D210" s="2">
        <f t="shared" si="5"/>
        <v>2016</v>
      </c>
    </row>
    <row r="211" spans="1:4" x14ac:dyDescent="0.3">
      <c r="A211" s="2" t="s">
        <v>1</v>
      </c>
      <c r="B211" s="4">
        <v>42637</v>
      </c>
      <c r="C211" s="5">
        <v>0.93230324074074078</v>
      </c>
      <c r="D211" s="2">
        <f t="shared" si="5"/>
        <v>2016</v>
      </c>
    </row>
    <row r="212" spans="1:4" x14ac:dyDescent="0.3">
      <c r="A212" s="2" t="s">
        <v>1</v>
      </c>
      <c r="B212" s="4">
        <v>42637</v>
      </c>
      <c r="C212" s="5">
        <v>0.92980324074074072</v>
      </c>
      <c r="D212" s="2">
        <f t="shared" si="5"/>
        <v>2016</v>
      </c>
    </row>
    <row r="213" spans="1:4" x14ac:dyDescent="0.3">
      <c r="A213" s="2" t="s">
        <v>1</v>
      </c>
      <c r="B213" s="4">
        <v>42616</v>
      </c>
      <c r="C213" s="5">
        <v>0.97341435185185177</v>
      </c>
      <c r="D213" s="2">
        <f t="shared" si="5"/>
        <v>2016</v>
      </c>
    </row>
    <row r="214" spans="1:4" x14ac:dyDescent="0.3">
      <c r="A214" s="2" t="s">
        <v>1</v>
      </c>
      <c r="B214" s="4">
        <v>42613</v>
      </c>
      <c r="C214" s="5">
        <v>0.92607638888888888</v>
      </c>
      <c r="D214" s="2">
        <f t="shared" si="5"/>
        <v>2016</v>
      </c>
    </row>
    <row r="215" spans="1:4" x14ac:dyDescent="0.3">
      <c r="A215" s="2" t="s">
        <v>1</v>
      </c>
      <c r="B215" s="4">
        <v>42612</v>
      </c>
      <c r="C215" s="5">
        <v>0.38895833333333335</v>
      </c>
      <c r="D215" s="2">
        <f t="shared" si="5"/>
        <v>2016</v>
      </c>
    </row>
    <row r="216" spans="1:4" x14ac:dyDescent="0.3">
      <c r="A216" s="2" t="s">
        <v>1</v>
      </c>
      <c r="B216" s="4">
        <v>42611</v>
      </c>
      <c r="C216" s="5">
        <v>0.93686342592592586</v>
      </c>
      <c r="D216" s="2">
        <f t="shared" si="5"/>
        <v>2016</v>
      </c>
    </row>
    <row r="217" spans="1:4" x14ac:dyDescent="0.3">
      <c r="A217" s="2" t="s">
        <v>1</v>
      </c>
      <c r="B217" s="4">
        <v>42611</v>
      </c>
      <c r="C217" s="5">
        <v>0.93194444444444446</v>
      </c>
      <c r="D217" s="2">
        <f t="shared" si="5"/>
        <v>2016</v>
      </c>
    </row>
    <row r="218" spans="1:4" x14ac:dyDescent="0.3">
      <c r="A218" s="2" t="s">
        <v>1</v>
      </c>
      <c r="B218" s="4">
        <v>42608</v>
      </c>
      <c r="C218" s="5">
        <v>1.6400462962962964E-2</v>
      </c>
      <c r="D218" s="2">
        <f t="shared" si="5"/>
        <v>2016</v>
      </c>
    </row>
    <row r="219" spans="1:4" x14ac:dyDescent="0.3">
      <c r="A219" s="2" t="s">
        <v>1</v>
      </c>
      <c r="B219" s="4">
        <v>42607</v>
      </c>
      <c r="C219" s="5">
        <v>0.96813657407407405</v>
      </c>
      <c r="D219" s="2">
        <f t="shared" si="5"/>
        <v>2016</v>
      </c>
    </row>
    <row r="220" spans="1:4" x14ac:dyDescent="0.3">
      <c r="A220" s="2" t="s">
        <v>1</v>
      </c>
      <c r="B220" s="4">
        <v>42601</v>
      </c>
      <c r="C220" s="5">
        <v>0.93725694444444441</v>
      </c>
      <c r="D220" s="2">
        <f t="shared" si="5"/>
        <v>2016</v>
      </c>
    </row>
    <row r="221" spans="1:4" x14ac:dyDescent="0.3">
      <c r="A221" s="2" t="s">
        <v>1</v>
      </c>
      <c r="B221" s="4">
        <v>42601</v>
      </c>
      <c r="C221" s="5">
        <v>0.93327546296296304</v>
      </c>
      <c r="D221" s="2">
        <f t="shared" si="5"/>
        <v>2016</v>
      </c>
    </row>
    <row r="222" spans="1:4" x14ac:dyDescent="0.3">
      <c r="A222" s="2" t="s">
        <v>1</v>
      </c>
      <c r="B222" s="4">
        <v>42601</v>
      </c>
      <c r="C222" s="5">
        <v>0.92729166666666663</v>
      </c>
      <c r="D222" s="2">
        <f t="shared" si="5"/>
        <v>2016</v>
      </c>
    </row>
    <row r="223" spans="1:4" x14ac:dyDescent="0.3">
      <c r="A223" s="2" t="s">
        <v>1</v>
      </c>
      <c r="B223" s="4">
        <v>42600</v>
      </c>
      <c r="C223" s="5">
        <v>0.93234953703703705</v>
      </c>
      <c r="D223" s="2">
        <f t="shared" si="5"/>
        <v>2016</v>
      </c>
    </row>
    <row r="224" spans="1:4" x14ac:dyDescent="0.3">
      <c r="A224" s="2" t="s">
        <v>1</v>
      </c>
      <c r="B224" s="4">
        <v>42599</v>
      </c>
      <c r="C224" s="5">
        <v>0.92829861111111101</v>
      </c>
      <c r="D224" s="2">
        <f t="shared" si="5"/>
        <v>2016</v>
      </c>
    </row>
    <row r="225" spans="1:4" x14ac:dyDescent="0.3">
      <c r="A225" s="2" t="s">
        <v>1</v>
      </c>
      <c r="B225" s="4">
        <v>42595</v>
      </c>
      <c r="C225" s="5">
        <v>0.90141203703703709</v>
      </c>
      <c r="D225" s="2">
        <f t="shared" si="5"/>
        <v>2016</v>
      </c>
    </row>
    <row r="226" spans="1:4" x14ac:dyDescent="0.3">
      <c r="A226" s="2" t="s">
        <v>1</v>
      </c>
      <c r="B226" s="4">
        <v>42587</v>
      </c>
      <c r="C226" s="5">
        <v>0.96614583333333337</v>
      </c>
      <c r="D226" s="2">
        <f t="shared" si="5"/>
        <v>2016</v>
      </c>
    </row>
    <row r="227" spans="1:4" x14ac:dyDescent="0.3">
      <c r="A227" s="2" t="s">
        <v>1</v>
      </c>
      <c r="B227" s="4">
        <v>42587</v>
      </c>
      <c r="C227" s="5">
        <v>0.73249999999999993</v>
      </c>
      <c r="D227" s="2">
        <f t="shared" si="5"/>
        <v>2016</v>
      </c>
    </row>
    <row r="228" spans="1:4" x14ac:dyDescent="0.3">
      <c r="A228" s="2" t="s">
        <v>1</v>
      </c>
      <c r="B228" s="4">
        <v>42587</v>
      </c>
      <c r="C228" s="5">
        <v>0.28493055555555552</v>
      </c>
      <c r="D228" s="2">
        <f t="shared" si="5"/>
        <v>2016</v>
      </c>
    </row>
    <row r="229" spans="1:4" x14ac:dyDescent="0.3">
      <c r="A229" s="2" t="s">
        <v>1</v>
      </c>
      <c r="B229" s="4">
        <v>42586</v>
      </c>
      <c r="C229" s="5">
        <v>0.66120370370370374</v>
      </c>
      <c r="D229" s="2">
        <f t="shared" si="5"/>
        <v>2016</v>
      </c>
    </row>
    <row r="230" spans="1:4" x14ac:dyDescent="0.3">
      <c r="A230" s="2" t="s">
        <v>1</v>
      </c>
      <c r="B230" s="4">
        <v>42585</v>
      </c>
      <c r="C230" s="5">
        <v>0.63559027777777777</v>
      </c>
      <c r="D230" s="2">
        <f t="shared" si="5"/>
        <v>2016</v>
      </c>
    </row>
    <row r="231" spans="1:4" x14ac:dyDescent="0.3">
      <c r="A231" s="2" t="s">
        <v>1</v>
      </c>
      <c r="B231" s="4">
        <v>42585</v>
      </c>
      <c r="C231" s="5">
        <v>0.4223263888888889</v>
      </c>
      <c r="D231" s="2">
        <f t="shared" si="5"/>
        <v>2016</v>
      </c>
    </row>
    <row r="232" spans="1:4" x14ac:dyDescent="0.3">
      <c r="A232" s="2" t="s">
        <v>1</v>
      </c>
      <c r="B232" s="4">
        <v>42584</v>
      </c>
      <c r="C232" s="5">
        <v>0.93100694444444443</v>
      </c>
      <c r="D232" s="2">
        <f t="shared" si="5"/>
        <v>2016</v>
      </c>
    </row>
    <row r="233" spans="1:4" x14ac:dyDescent="0.3">
      <c r="A233" s="2" t="s">
        <v>1</v>
      </c>
      <c r="B233" s="4">
        <v>42583</v>
      </c>
      <c r="C233" s="5">
        <v>0.35031250000000003</v>
      </c>
      <c r="D233" s="2">
        <f t="shared" si="5"/>
        <v>2016</v>
      </c>
    </row>
    <row r="234" spans="1:4" x14ac:dyDescent="0.3">
      <c r="A234" s="2" t="s">
        <v>1</v>
      </c>
      <c r="B234" s="4">
        <v>42581</v>
      </c>
      <c r="C234" s="5">
        <v>0.54791666666666672</v>
      </c>
      <c r="D234" s="2">
        <f t="shared" si="5"/>
        <v>2016</v>
      </c>
    </row>
    <row r="235" spans="1:4" x14ac:dyDescent="0.3">
      <c r="A235" s="2" t="s">
        <v>1</v>
      </c>
      <c r="B235" s="4">
        <v>42577</v>
      </c>
      <c r="C235" s="5">
        <v>0.39685185185185184</v>
      </c>
      <c r="D235" s="2">
        <f t="shared" si="5"/>
        <v>2016</v>
      </c>
    </row>
    <row r="236" spans="1:4" x14ac:dyDescent="0.3">
      <c r="A236" s="2" t="s">
        <v>1</v>
      </c>
      <c r="B236" s="4">
        <v>42576</v>
      </c>
      <c r="C236" s="5">
        <v>0.58466435185185184</v>
      </c>
      <c r="D236" s="2">
        <f t="shared" si="5"/>
        <v>2016</v>
      </c>
    </row>
    <row r="237" spans="1:4" x14ac:dyDescent="0.3">
      <c r="A237" s="2" t="s">
        <v>1</v>
      </c>
      <c r="B237" s="4">
        <v>42575</v>
      </c>
      <c r="C237" s="5">
        <v>0.44443287037037038</v>
      </c>
      <c r="D237" s="2">
        <f t="shared" si="5"/>
        <v>2016</v>
      </c>
    </row>
    <row r="238" spans="1:4" x14ac:dyDescent="0.3">
      <c r="A238" s="2" t="s">
        <v>1</v>
      </c>
      <c r="B238" s="4">
        <v>42575</v>
      </c>
      <c r="C238" s="5">
        <v>0.44340277777777781</v>
      </c>
      <c r="D238" s="2">
        <f t="shared" si="5"/>
        <v>2016</v>
      </c>
    </row>
    <row r="239" spans="1:4" x14ac:dyDescent="0.3">
      <c r="A239" s="2" t="s">
        <v>1</v>
      </c>
      <c r="B239" s="4">
        <v>42562</v>
      </c>
      <c r="C239" s="5">
        <v>0.53291666666666659</v>
      </c>
      <c r="D239" s="2">
        <f t="shared" si="5"/>
        <v>2016</v>
      </c>
    </row>
    <row r="240" spans="1:4" x14ac:dyDescent="0.3">
      <c r="A240" s="2" t="s">
        <v>1</v>
      </c>
      <c r="B240" s="4">
        <v>42554</v>
      </c>
      <c r="C240" s="5">
        <v>0.75118055555555552</v>
      </c>
      <c r="D240" s="2">
        <f t="shared" si="5"/>
        <v>2016</v>
      </c>
    </row>
    <row r="241" spans="1:4" x14ac:dyDescent="0.3">
      <c r="A241" s="2" t="s">
        <v>1</v>
      </c>
      <c r="B241" s="4">
        <v>42547</v>
      </c>
      <c r="C241" s="5">
        <v>0.55064814814814811</v>
      </c>
      <c r="D241" s="2">
        <f t="shared" si="5"/>
        <v>2016</v>
      </c>
    </row>
    <row r="242" spans="1:4" x14ac:dyDescent="0.3">
      <c r="A242" s="2" t="s">
        <v>1</v>
      </c>
      <c r="B242" s="4">
        <v>42547</v>
      </c>
      <c r="C242" s="5">
        <v>0.54646990740740742</v>
      </c>
      <c r="D242" s="2">
        <f t="shared" si="5"/>
        <v>2016</v>
      </c>
    </row>
    <row r="243" spans="1:4" x14ac:dyDescent="0.3">
      <c r="A243" s="2" t="s">
        <v>1</v>
      </c>
      <c r="B243" s="4">
        <v>42524</v>
      </c>
      <c r="C243" s="5">
        <v>0.75872685185185185</v>
      </c>
      <c r="D243" s="2">
        <f t="shared" si="5"/>
        <v>2016</v>
      </c>
    </row>
    <row r="244" spans="1:4" x14ac:dyDescent="0.3">
      <c r="A244" s="2" t="s">
        <v>1</v>
      </c>
      <c r="B244" s="4">
        <v>42463</v>
      </c>
      <c r="C244" s="5">
        <v>0.30599537037037033</v>
      </c>
      <c r="D244" s="2">
        <f t="shared" si="5"/>
        <v>2016</v>
      </c>
    </row>
    <row r="245" spans="1:4" x14ac:dyDescent="0.3">
      <c r="A245" s="2" t="s">
        <v>1</v>
      </c>
      <c r="B245" s="4">
        <v>42431</v>
      </c>
      <c r="C245" s="5">
        <v>0.69142361111111106</v>
      </c>
      <c r="D245" s="2">
        <f t="shared" si="5"/>
        <v>2016</v>
      </c>
    </row>
    <row r="246" spans="1:4" x14ac:dyDescent="0.3">
      <c r="A246" s="2" t="s">
        <v>1</v>
      </c>
      <c r="B246" s="4">
        <v>42421</v>
      </c>
      <c r="C246" s="5">
        <v>0.37915509259259261</v>
      </c>
      <c r="D246" s="2">
        <f t="shared" si="5"/>
        <v>2016</v>
      </c>
    </row>
    <row r="247" spans="1:4" x14ac:dyDescent="0.3">
      <c r="A247" s="2" t="s">
        <v>1</v>
      </c>
      <c r="B247" s="4">
        <v>42420</v>
      </c>
      <c r="C247" s="5">
        <v>0.75890046296296287</v>
      </c>
      <c r="D247" s="2">
        <f t="shared" si="5"/>
        <v>2016</v>
      </c>
    </row>
    <row r="248" spans="1:4" x14ac:dyDescent="0.3">
      <c r="A248" s="2" t="s">
        <v>1</v>
      </c>
      <c r="B248" s="4">
        <v>42419</v>
      </c>
      <c r="C248" s="5">
        <v>0.60982638888888896</v>
      </c>
      <c r="D248" s="2">
        <f t="shared" si="5"/>
        <v>2016</v>
      </c>
    </row>
    <row r="249" spans="1:4" x14ac:dyDescent="0.3">
      <c r="A249" s="2" t="s">
        <v>1</v>
      </c>
      <c r="B249" s="4">
        <v>42416</v>
      </c>
      <c r="C249" s="5">
        <v>3.4027777777777784E-3</v>
      </c>
      <c r="D249" s="2">
        <f t="shared" si="5"/>
        <v>2016</v>
      </c>
    </row>
    <row r="250" spans="1:4" x14ac:dyDescent="0.3">
      <c r="A250" s="2" t="s">
        <v>1</v>
      </c>
      <c r="B250" s="4">
        <v>42414</v>
      </c>
      <c r="C250" s="5">
        <v>0.5499074074074074</v>
      </c>
      <c r="D250" s="2">
        <f t="shared" si="5"/>
        <v>2016</v>
      </c>
    </row>
    <row r="251" spans="1:4" x14ac:dyDescent="0.3">
      <c r="A251" s="2" t="s">
        <v>1</v>
      </c>
      <c r="B251" s="4">
        <v>42414</v>
      </c>
      <c r="C251" s="5">
        <v>0.5490046296296297</v>
      </c>
      <c r="D251" s="2">
        <f t="shared" si="5"/>
        <v>2016</v>
      </c>
    </row>
    <row r="252" spans="1:4" x14ac:dyDescent="0.3">
      <c r="A252" s="2" t="s">
        <v>1</v>
      </c>
      <c r="B252" s="4">
        <v>42414</v>
      </c>
      <c r="C252" s="5">
        <v>0.54804398148148148</v>
      </c>
      <c r="D252" s="2">
        <f t="shared" si="5"/>
        <v>2016</v>
      </c>
    </row>
    <row r="253" spans="1:4" x14ac:dyDescent="0.3">
      <c r="A253" s="2" t="s">
        <v>1</v>
      </c>
      <c r="B253" s="4">
        <v>42414</v>
      </c>
      <c r="C253" s="5">
        <v>0.54694444444444446</v>
      </c>
      <c r="D253" s="2">
        <f t="shared" si="5"/>
        <v>2016</v>
      </c>
    </row>
    <row r="254" spans="1:4" x14ac:dyDescent="0.3">
      <c r="A254" s="2" t="s">
        <v>1</v>
      </c>
      <c r="B254" s="4">
        <v>42414</v>
      </c>
      <c r="C254" s="5">
        <v>0.50675925925925924</v>
      </c>
      <c r="D254" s="2">
        <f t="shared" si="5"/>
        <v>2016</v>
      </c>
    </row>
    <row r="255" spans="1:4" x14ac:dyDescent="0.3">
      <c r="A255" s="2" t="s">
        <v>1</v>
      </c>
      <c r="B255" s="4">
        <v>42414</v>
      </c>
      <c r="C255" s="5">
        <v>0.50458333333333327</v>
      </c>
      <c r="D255" s="2">
        <f t="shared" si="5"/>
        <v>2016</v>
      </c>
    </row>
    <row r="256" spans="1:4" x14ac:dyDescent="0.3">
      <c r="A256" s="2" t="s">
        <v>1</v>
      </c>
      <c r="B256" s="4">
        <v>42414</v>
      </c>
      <c r="C256" s="5">
        <v>0.50230324074074073</v>
      </c>
      <c r="D256" s="2">
        <f t="shared" si="5"/>
        <v>2016</v>
      </c>
    </row>
    <row r="257" spans="1:4" x14ac:dyDescent="0.3">
      <c r="A257" s="2" t="s">
        <v>1</v>
      </c>
      <c r="B257" s="4">
        <v>42414</v>
      </c>
      <c r="C257" s="5">
        <v>0.50131944444444443</v>
      </c>
      <c r="D257" s="2">
        <f t="shared" si="5"/>
        <v>2016</v>
      </c>
    </row>
    <row r="258" spans="1:4" x14ac:dyDescent="0.3">
      <c r="A258" s="2" t="s">
        <v>1</v>
      </c>
      <c r="B258" s="4">
        <v>42414</v>
      </c>
      <c r="C258" s="5">
        <v>0.49855324074074076</v>
      </c>
      <c r="D258" s="2">
        <f t="shared" si="5"/>
        <v>2016</v>
      </c>
    </row>
    <row r="259" spans="1:4" x14ac:dyDescent="0.3">
      <c r="A259" s="2" t="s">
        <v>1</v>
      </c>
      <c r="B259" s="4">
        <v>42414</v>
      </c>
      <c r="C259" s="5">
        <v>0.49626157407407406</v>
      </c>
      <c r="D259" s="2">
        <f t="shared" ref="D259:D281" si="6">YEAR(B259)</f>
        <v>2016</v>
      </c>
    </row>
    <row r="260" spans="1:4" x14ac:dyDescent="0.3">
      <c r="A260" s="2" t="s">
        <v>1</v>
      </c>
      <c r="B260" s="4">
        <v>42414</v>
      </c>
      <c r="C260" s="5">
        <v>0.49467592592592591</v>
      </c>
      <c r="D260" s="2">
        <f t="shared" si="6"/>
        <v>2016</v>
      </c>
    </row>
    <row r="261" spans="1:4" x14ac:dyDescent="0.3">
      <c r="A261" s="2" t="s">
        <v>1</v>
      </c>
      <c r="B261" s="4">
        <v>42414</v>
      </c>
      <c r="C261" s="5">
        <v>0.49416666666666664</v>
      </c>
      <c r="D261" s="2">
        <f t="shared" si="6"/>
        <v>2016</v>
      </c>
    </row>
    <row r="262" spans="1:4" x14ac:dyDescent="0.3">
      <c r="A262" s="2" t="s">
        <v>1</v>
      </c>
      <c r="B262" s="4">
        <v>42414</v>
      </c>
      <c r="C262" s="5">
        <v>0.4929398148148148</v>
      </c>
      <c r="D262" s="2">
        <f t="shared" si="6"/>
        <v>2016</v>
      </c>
    </row>
    <row r="263" spans="1:4" x14ac:dyDescent="0.3">
      <c r="A263" s="2" t="s">
        <v>1</v>
      </c>
      <c r="B263" s="4">
        <v>42414</v>
      </c>
      <c r="C263" s="5">
        <v>0.49096064814814816</v>
      </c>
      <c r="D263" s="2">
        <f t="shared" si="6"/>
        <v>2016</v>
      </c>
    </row>
    <row r="264" spans="1:4" x14ac:dyDescent="0.3">
      <c r="A264" s="2" t="s">
        <v>1</v>
      </c>
      <c r="B264" s="4">
        <v>42414</v>
      </c>
      <c r="C264" s="5">
        <v>0.48931712962962964</v>
      </c>
      <c r="D264" s="2">
        <f t="shared" si="6"/>
        <v>2016</v>
      </c>
    </row>
    <row r="265" spans="1:4" x14ac:dyDescent="0.3">
      <c r="A265" s="2" t="s">
        <v>1</v>
      </c>
      <c r="B265" s="4">
        <v>42414</v>
      </c>
      <c r="C265" s="5">
        <v>0.48736111111111113</v>
      </c>
      <c r="D265" s="2">
        <f t="shared" si="6"/>
        <v>2016</v>
      </c>
    </row>
    <row r="266" spans="1:4" x14ac:dyDescent="0.3">
      <c r="A266" s="2" t="s">
        <v>1</v>
      </c>
      <c r="B266" s="4">
        <v>42410</v>
      </c>
      <c r="C266" s="5">
        <v>0.74185185185185187</v>
      </c>
      <c r="D266" s="2">
        <f t="shared" si="6"/>
        <v>2016</v>
      </c>
    </row>
    <row r="267" spans="1:4" x14ac:dyDescent="0.3">
      <c r="A267" s="2" t="s">
        <v>1</v>
      </c>
      <c r="B267" s="4">
        <v>42407</v>
      </c>
      <c r="C267" s="5">
        <v>0.9069328703703704</v>
      </c>
      <c r="D267" s="2">
        <f t="shared" si="6"/>
        <v>2016</v>
      </c>
    </row>
    <row r="268" spans="1:4" x14ac:dyDescent="0.3">
      <c r="A268" s="2" t="s">
        <v>1</v>
      </c>
      <c r="B268" s="4">
        <v>42407</v>
      </c>
      <c r="C268" s="5">
        <v>0.49964120370370368</v>
      </c>
      <c r="D268" s="2">
        <f t="shared" si="6"/>
        <v>2016</v>
      </c>
    </row>
    <row r="269" spans="1:4" x14ac:dyDescent="0.3">
      <c r="A269" s="2" t="s">
        <v>1</v>
      </c>
      <c r="B269" s="4">
        <v>42396</v>
      </c>
      <c r="C269" s="5">
        <v>0.96099537037037042</v>
      </c>
      <c r="D269" s="2">
        <f t="shared" si="6"/>
        <v>2016</v>
      </c>
    </row>
    <row r="270" spans="1:4" x14ac:dyDescent="0.3">
      <c r="A270" s="2" t="s">
        <v>1</v>
      </c>
      <c r="B270" s="4">
        <v>42395</v>
      </c>
      <c r="C270" s="5">
        <v>0.67469907407407403</v>
      </c>
      <c r="D270" s="2">
        <f t="shared" si="6"/>
        <v>2016</v>
      </c>
    </row>
    <row r="271" spans="1:4" x14ac:dyDescent="0.3">
      <c r="A271" s="2" t="s">
        <v>1</v>
      </c>
      <c r="B271" s="4">
        <v>42386</v>
      </c>
      <c r="C271" s="5">
        <v>0.5115277777777778</v>
      </c>
      <c r="D271" s="2">
        <f t="shared" si="6"/>
        <v>2016</v>
      </c>
    </row>
    <row r="272" spans="1:4" x14ac:dyDescent="0.3">
      <c r="A272" s="2" t="s">
        <v>1</v>
      </c>
      <c r="B272" s="4">
        <v>42385</v>
      </c>
      <c r="C272" s="5">
        <v>0.91173611111111119</v>
      </c>
      <c r="D272" s="2">
        <f t="shared" si="6"/>
        <v>2016</v>
      </c>
    </row>
    <row r="273" spans="1:4" x14ac:dyDescent="0.3">
      <c r="A273" s="2" t="s">
        <v>1</v>
      </c>
      <c r="B273" s="4">
        <v>42385</v>
      </c>
      <c r="C273" s="5">
        <v>0.90302083333333327</v>
      </c>
      <c r="D273" s="2">
        <f t="shared" si="6"/>
        <v>2016</v>
      </c>
    </row>
    <row r="274" spans="1:4" x14ac:dyDescent="0.3">
      <c r="A274" s="2" t="s">
        <v>1</v>
      </c>
      <c r="B274" s="4">
        <v>42367</v>
      </c>
      <c r="C274" s="5">
        <v>0.82758101851851851</v>
      </c>
      <c r="D274" s="2">
        <f t="shared" si="6"/>
        <v>2015</v>
      </c>
    </row>
    <row r="275" spans="1:4" x14ac:dyDescent="0.3">
      <c r="A275" s="2" t="s">
        <v>1</v>
      </c>
      <c r="B275" s="4">
        <v>42367</v>
      </c>
      <c r="C275" s="5">
        <v>0.82512731481481483</v>
      </c>
      <c r="D275" s="2">
        <f t="shared" si="6"/>
        <v>2015</v>
      </c>
    </row>
    <row r="276" spans="1:4" x14ac:dyDescent="0.3">
      <c r="A276" s="2" t="s">
        <v>1</v>
      </c>
      <c r="B276" s="4">
        <v>42367</v>
      </c>
      <c r="C276" s="5">
        <v>0.82283564814814814</v>
      </c>
      <c r="D276" s="2">
        <f t="shared" si="6"/>
        <v>2015</v>
      </c>
    </row>
    <row r="277" spans="1:4" x14ac:dyDescent="0.3">
      <c r="A277" s="2" t="s">
        <v>1</v>
      </c>
      <c r="B277" s="4">
        <v>42347</v>
      </c>
      <c r="C277" s="5">
        <v>0.72935185185185192</v>
      </c>
      <c r="D277" s="2">
        <f t="shared" si="6"/>
        <v>2015</v>
      </c>
    </row>
    <row r="278" spans="1:4" x14ac:dyDescent="0.3">
      <c r="A278" s="2" t="s">
        <v>1</v>
      </c>
      <c r="B278" s="4">
        <v>42347</v>
      </c>
      <c r="C278" s="5">
        <v>0.72811342592592598</v>
      </c>
      <c r="D278" s="2">
        <f t="shared" si="6"/>
        <v>2015</v>
      </c>
    </row>
    <row r="279" spans="1:4" x14ac:dyDescent="0.3">
      <c r="A279" s="2" t="s">
        <v>1</v>
      </c>
      <c r="B279" s="4">
        <v>42347</v>
      </c>
      <c r="C279" s="5">
        <v>0.72581018518518514</v>
      </c>
      <c r="D279" s="2">
        <f t="shared" si="6"/>
        <v>2015</v>
      </c>
    </row>
    <row r="280" spans="1:4" x14ac:dyDescent="0.3">
      <c r="A280" s="2" t="s">
        <v>1</v>
      </c>
      <c r="B280" s="4">
        <v>42347</v>
      </c>
      <c r="C280" s="5">
        <v>0.72425925925925927</v>
      </c>
      <c r="D280" s="2">
        <f t="shared" si="6"/>
        <v>2015</v>
      </c>
    </row>
    <row r="281" spans="1:4" x14ac:dyDescent="0.3">
      <c r="A281" s="2" t="s">
        <v>1</v>
      </c>
      <c r="B281" s="4">
        <v>42347</v>
      </c>
      <c r="C281" s="5">
        <v>0.72123842592592602</v>
      </c>
      <c r="D281" s="2">
        <f t="shared" si="6"/>
        <v>2015</v>
      </c>
    </row>
  </sheetData>
  <autoFilter ref="A1:D1" xr:uid="{41D3E737-25A5-4D5F-BFAF-13555FA89FCC}"/>
  <pageMargins left="0.7" right="0.7" top="0.75" bottom="0.75" header="0.3" footer="0.3"/>
  <pageSetup paperSize="9" orientation="portrait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D3A5-E952-453C-BE65-B601F17723FB}">
  <dimension ref="A1"/>
  <sheetViews>
    <sheetView workbookViewId="0">
      <selection activeCell="A2" sqref="A2"/>
    </sheetView>
  </sheetViews>
  <sheetFormatPr defaultRowHeight="14.4" x14ac:dyDescent="0.3"/>
  <cols>
    <col min="1" max="1" width="54.21875" customWidth="1"/>
  </cols>
  <sheetData>
    <row r="1" spans="1:1" ht="29.4" customHeight="1" x14ac:dyDescent="0.3">
      <c r="A1" s="33" t="s">
        <v>207</v>
      </c>
    </row>
  </sheetData>
  <hyperlinks>
    <hyperlink ref="A1" r:id="rId1" xr:uid="{DAA84309-BC87-4C5F-8A4B-B1AE4CC5BB1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EFE82-DF47-4DFE-AA4B-3BF4A584D6A4}">
  <dimension ref="A1:G41"/>
  <sheetViews>
    <sheetView workbookViewId="0"/>
  </sheetViews>
  <sheetFormatPr defaultRowHeight="14.4" x14ac:dyDescent="0.3"/>
  <cols>
    <col min="1" max="1" width="65.88671875" customWidth="1"/>
    <col min="2" max="2" width="30.6640625" customWidth="1"/>
    <col min="3" max="3" width="21.21875" bestFit="1" customWidth="1"/>
    <col min="4" max="4" width="29.109375" bestFit="1" customWidth="1"/>
    <col min="5" max="5" width="11.44140625" customWidth="1"/>
  </cols>
  <sheetData>
    <row r="1" spans="1:7" ht="16.2" customHeight="1" x14ac:dyDescent="0.3">
      <c r="A1" s="32" t="s">
        <v>207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</row>
    <row r="2" spans="1:7" x14ac:dyDescent="0.3"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</row>
    <row r="3" spans="1:7" x14ac:dyDescent="0.3">
      <c r="B3" s="1" t="s">
        <v>48</v>
      </c>
      <c r="C3" s="1" t="s">
        <v>43</v>
      </c>
      <c r="D3" s="1" t="s">
        <v>49</v>
      </c>
      <c r="E3" s="1" t="s">
        <v>50</v>
      </c>
      <c r="F3" s="1" t="s">
        <v>51</v>
      </c>
      <c r="G3" s="1" t="s">
        <v>52</v>
      </c>
    </row>
    <row r="4" spans="1:7" x14ac:dyDescent="0.3">
      <c r="B4" s="1" t="s">
        <v>53</v>
      </c>
      <c r="C4" s="1" t="s">
        <v>43</v>
      </c>
      <c r="D4" s="1" t="s">
        <v>54</v>
      </c>
      <c r="E4" s="1" t="s">
        <v>55</v>
      </c>
      <c r="F4" s="1" t="s">
        <v>56</v>
      </c>
      <c r="G4" s="1" t="s">
        <v>57</v>
      </c>
    </row>
    <row r="5" spans="1:7" x14ac:dyDescent="0.3">
      <c r="B5" s="1" t="s">
        <v>58</v>
      </c>
      <c r="C5" s="1" t="s">
        <v>43</v>
      </c>
      <c r="D5" s="1" t="s">
        <v>59</v>
      </c>
      <c r="E5" s="1" t="s">
        <v>60</v>
      </c>
      <c r="F5" s="1" t="s">
        <v>61</v>
      </c>
      <c r="G5" s="1" t="s">
        <v>62</v>
      </c>
    </row>
    <row r="6" spans="1:7" x14ac:dyDescent="0.3">
      <c r="B6" s="1" t="s">
        <v>63</v>
      </c>
      <c r="C6" s="1" t="s">
        <v>43</v>
      </c>
      <c r="D6" s="1" t="s">
        <v>64</v>
      </c>
      <c r="E6" s="1" t="s">
        <v>60</v>
      </c>
      <c r="F6" s="1" t="s">
        <v>65</v>
      </c>
      <c r="G6" s="1" t="s">
        <v>66</v>
      </c>
    </row>
    <row r="7" spans="1:7" x14ac:dyDescent="0.3">
      <c r="B7" s="1" t="s">
        <v>67</v>
      </c>
      <c r="C7" s="1" t="s">
        <v>43</v>
      </c>
      <c r="D7" s="1" t="s">
        <v>68</v>
      </c>
      <c r="E7" s="1" t="s">
        <v>69</v>
      </c>
      <c r="F7" s="1" t="s">
        <v>70</v>
      </c>
      <c r="G7" s="1" t="s">
        <v>71</v>
      </c>
    </row>
    <row r="8" spans="1:7" x14ac:dyDescent="0.3">
      <c r="B8" s="1" t="s">
        <v>72</v>
      </c>
      <c r="C8" s="1" t="s">
        <v>43</v>
      </c>
      <c r="D8" s="1" t="s">
        <v>73</v>
      </c>
      <c r="E8" s="1" t="s">
        <v>74</v>
      </c>
      <c r="F8" s="1" t="s">
        <v>75</v>
      </c>
      <c r="G8" s="1" t="s">
        <v>76</v>
      </c>
    </row>
    <row r="9" spans="1:7" x14ac:dyDescent="0.3">
      <c r="B9" s="1" t="s">
        <v>77</v>
      </c>
      <c r="C9" s="1" t="s">
        <v>43</v>
      </c>
      <c r="D9" s="1" t="s">
        <v>78</v>
      </c>
      <c r="E9" s="1" t="s">
        <v>79</v>
      </c>
      <c r="F9" s="1" t="s">
        <v>80</v>
      </c>
      <c r="G9" s="1" t="s">
        <v>81</v>
      </c>
    </row>
    <row r="10" spans="1:7" x14ac:dyDescent="0.3">
      <c r="B10" s="1" t="s">
        <v>82</v>
      </c>
      <c r="C10" s="1" t="s">
        <v>43</v>
      </c>
      <c r="D10" s="1" t="s">
        <v>83</v>
      </c>
      <c r="E10" s="1" t="s">
        <v>84</v>
      </c>
      <c r="F10" s="1" t="s">
        <v>85</v>
      </c>
      <c r="G10" s="1" t="s">
        <v>86</v>
      </c>
    </row>
    <row r="11" spans="1:7" x14ac:dyDescent="0.3">
      <c r="B11" s="1" t="s">
        <v>87</v>
      </c>
      <c r="C11" s="1" t="s">
        <v>43</v>
      </c>
      <c r="D11" s="1" t="s">
        <v>83</v>
      </c>
      <c r="E11" s="1" t="s">
        <v>88</v>
      </c>
      <c r="F11" s="1" t="s">
        <v>75</v>
      </c>
      <c r="G11" s="1" t="s">
        <v>76</v>
      </c>
    </row>
    <row r="12" spans="1:7" x14ac:dyDescent="0.3">
      <c r="B12" s="1" t="s">
        <v>89</v>
      </c>
      <c r="C12" s="1" t="s">
        <v>43</v>
      </c>
      <c r="D12" s="1" t="s">
        <v>90</v>
      </c>
      <c r="E12" s="1" t="s">
        <v>91</v>
      </c>
      <c r="F12" s="1" t="s">
        <v>92</v>
      </c>
      <c r="G12" s="1" t="s">
        <v>93</v>
      </c>
    </row>
    <row r="13" spans="1:7" x14ac:dyDescent="0.3">
      <c r="B13" s="1" t="s">
        <v>94</v>
      </c>
      <c r="C13" s="1" t="s">
        <v>43</v>
      </c>
      <c r="D13" s="1" t="s">
        <v>95</v>
      </c>
      <c r="E13" s="1" t="s">
        <v>96</v>
      </c>
      <c r="F13" s="1" t="s">
        <v>97</v>
      </c>
      <c r="G13" s="1" t="s">
        <v>86</v>
      </c>
    </row>
    <row r="14" spans="1:7" x14ac:dyDescent="0.3">
      <c r="B14" s="1" t="s">
        <v>98</v>
      </c>
      <c r="C14" s="1" t="s">
        <v>43</v>
      </c>
      <c r="D14" s="1" t="s">
        <v>99</v>
      </c>
      <c r="E14" s="1" t="s">
        <v>100</v>
      </c>
      <c r="F14" s="1" t="s">
        <v>61</v>
      </c>
      <c r="G14" s="1" t="s">
        <v>101</v>
      </c>
    </row>
    <row r="15" spans="1:7" x14ac:dyDescent="0.3">
      <c r="B15" s="1" t="s">
        <v>102</v>
      </c>
      <c r="C15" s="1" t="s">
        <v>43</v>
      </c>
      <c r="D15" s="1" t="s">
        <v>103</v>
      </c>
      <c r="E15" s="1" t="s">
        <v>104</v>
      </c>
      <c r="F15" s="1" t="s">
        <v>105</v>
      </c>
      <c r="G15" s="1" t="s">
        <v>106</v>
      </c>
    </row>
    <row r="16" spans="1:7" x14ac:dyDescent="0.3">
      <c r="B16" s="1" t="s">
        <v>107</v>
      </c>
      <c r="C16" s="1" t="s">
        <v>43</v>
      </c>
      <c r="D16" s="1" t="s">
        <v>108</v>
      </c>
      <c r="E16" s="1" t="s">
        <v>109</v>
      </c>
      <c r="F16" s="1" t="s">
        <v>110</v>
      </c>
      <c r="G16" s="1" t="s">
        <v>111</v>
      </c>
    </row>
    <row r="17" spans="2:7" x14ac:dyDescent="0.3">
      <c r="B17" s="1" t="s">
        <v>112</v>
      </c>
      <c r="C17" s="1" t="s">
        <v>43</v>
      </c>
      <c r="D17" s="1" t="s">
        <v>113</v>
      </c>
      <c r="E17" s="1" t="s">
        <v>114</v>
      </c>
      <c r="F17" s="1" t="s">
        <v>115</v>
      </c>
      <c r="G17" s="1" t="s">
        <v>116</v>
      </c>
    </row>
    <row r="18" spans="2:7" x14ac:dyDescent="0.3">
      <c r="B18" s="1" t="s">
        <v>117</v>
      </c>
      <c r="C18" s="1" t="s">
        <v>43</v>
      </c>
      <c r="D18" s="1" t="s">
        <v>118</v>
      </c>
      <c r="E18" s="1" t="s">
        <v>119</v>
      </c>
      <c r="F18" s="1" t="s">
        <v>61</v>
      </c>
      <c r="G18" s="1" t="s">
        <v>120</v>
      </c>
    </row>
    <row r="19" spans="2:7" x14ac:dyDescent="0.3">
      <c r="B19" s="1" t="s">
        <v>121</v>
      </c>
      <c r="C19" s="1" t="s">
        <v>43</v>
      </c>
      <c r="D19" s="1" t="s">
        <v>122</v>
      </c>
      <c r="E19" s="1" t="s">
        <v>123</v>
      </c>
      <c r="F19" s="1" t="s">
        <v>124</v>
      </c>
      <c r="G19" s="1" t="s">
        <v>125</v>
      </c>
    </row>
    <row r="20" spans="2:7" x14ac:dyDescent="0.3">
      <c r="B20" s="1" t="s">
        <v>126</v>
      </c>
      <c r="C20" s="1" t="s">
        <v>43</v>
      </c>
      <c r="D20" s="1" t="s">
        <v>127</v>
      </c>
      <c r="E20" s="1" t="s">
        <v>128</v>
      </c>
      <c r="F20" s="1" t="s">
        <v>129</v>
      </c>
      <c r="G20" s="1" t="s">
        <v>81</v>
      </c>
    </row>
    <row r="21" spans="2:7" x14ac:dyDescent="0.3">
      <c r="B21" s="1" t="s">
        <v>130</v>
      </c>
      <c r="C21" s="1" t="s">
        <v>43</v>
      </c>
      <c r="D21" s="1" t="s">
        <v>131</v>
      </c>
      <c r="E21" s="1" t="s">
        <v>132</v>
      </c>
      <c r="F21" s="1" t="s">
        <v>110</v>
      </c>
      <c r="G21" s="1" t="s">
        <v>133</v>
      </c>
    </row>
    <row r="22" spans="2:7" x14ac:dyDescent="0.3">
      <c r="B22" s="1" t="s">
        <v>134</v>
      </c>
      <c r="C22" s="1" t="s">
        <v>43</v>
      </c>
      <c r="D22" s="1" t="s">
        <v>135</v>
      </c>
      <c r="E22" s="1" t="s">
        <v>136</v>
      </c>
      <c r="F22" s="1" t="s">
        <v>110</v>
      </c>
      <c r="G22" s="1" t="s">
        <v>137</v>
      </c>
    </row>
    <row r="23" spans="2:7" x14ac:dyDescent="0.3">
      <c r="B23" s="1" t="s">
        <v>138</v>
      </c>
      <c r="C23" s="1" t="s">
        <v>43</v>
      </c>
      <c r="D23" s="1" t="s">
        <v>139</v>
      </c>
      <c r="E23" s="1" t="s">
        <v>88</v>
      </c>
      <c r="F23" s="1" t="s">
        <v>75</v>
      </c>
      <c r="G23" s="1" t="s">
        <v>76</v>
      </c>
    </row>
    <row r="24" spans="2:7" x14ac:dyDescent="0.3">
      <c r="B24" s="1" t="s">
        <v>140</v>
      </c>
      <c r="C24" s="1" t="s">
        <v>43</v>
      </c>
      <c r="D24" s="1" t="s">
        <v>141</v>
      </c>
      <c r="E24" s="1" t="s">
        <v>142</v>
      </c>
      <c r="F24" s="1" t="s">
        <v>129</v>
      </c>
      <c r="G24" s="1" t="s">
        <v>143</v>
      </c>
    </row>
    <row r="25" spans="2:7" x14ac:dyDescent="0.3">
      <c r="B25" s="1" t="s">
        <v>144</v>
      </c>
      <c r="C25" s="1" t="s">
        <v>43</v>
      </c>
      <c r="D25" s="1" t="s">
        <v>145</v>
      </c>
      <c r="E25" s="1" t="s">
        <v>146</v>
      </c>
      <c r="F25" s="1" t="s">
        <v>147</v>
      </c>
      <c r="G25" s="1" t="s">
        <v>148</v>
      </c>
    </row>
    <row r="26" spans="2:7" x14ac:dyDescent="0.3">
      <c r="B26" s="1" t="s">
        <v>149</v>
      </c>
      <c r="C26" s="1" t="s">
        <v>43</v>
      </c>
      <c r="D26" s="1" t="s">
        <v>150</v>
      </c>
      <c r="E26" s="1" t="s">
        <v>88</v>
      </c>
      <c r="F26" s="1" t="s">
        <v>151</v>
      </c>
      <c r="G26" s="1" t="s">
        <v>76</v>
      </c>
    </row>
    <row r="27" spans="2:7" x14ac:dyDescent="0.3">
      <c r="B27" s="1" t="s">
        <v>152</v>
      </c>
      <c r="C27" s="1" t="s">
        <v>43</v>
      </c>
      <c r="D27" s="1" t="s">
        <v>153</v>
      </c>
      <c r="E27" s="1" t="s">
        <v>45</v>
      </c>
      <c r="F27" s="1" t="s">
        <v>154</v>
      </c>
      <c r="G27" s="1" t="s">
        <v>47</v>
      </c>
    </row>
    <row r="28" spans="2:7" x14ac:dyDescent="0.3">
      <c r="B28" s="1" t="s">
        <v>155</v>
      </c>
      <c r="C28" s="1" t="s">
        <v>43</v>
      </c>
      <c r="D28" s="1" t="s">
        <v>156</v>
      </c>
      <c r="E28" s="1" t="s">
        <v>157</v>
      </c>
      <c r="F28" s="1" t="s">
        <v>158</v>
      </c>
      <c r="G28" s="1" t="s">
        <v>159</v>
      </c>
    </row>
    <row r="29" spans="2:7" x14ac:dyDescent="0.3">
      <c r="B29" s="1" t="s">
        <v>160</v>
      </c>
      <c r="C29" s="1" t="s">
        <v>43</v>
      </c>
      <c r="D29" s="1" t="s">
        <v>161</v>
      </c>
      <c r="E29" s="1" t="s">
        <v>162</v>
      </c>
      <c r="F29" s="1" t="s">
        <v>163</v>
      </c>
      <c r="G29" s="1" t="s">
        <v>164</v>
      </c>
    </row>
    <row r="30" spans="2:7" x14ac:dyDescent="0.3">
      <c r="B30" s="1" t="s">
        <v>165</v>
      </c>
      <c r="C30" s="1" t="s">
        <v>43</v>
      </c>
      <c r="D30" s="1" t="s">
        <v>166</v>
      </c>
      <c r="E30" s="1" t="s">
        <v>167</v>
      </c>
      <c r="F30" s="1" t="s">
        <v>168</v>
      </c>
      <c r="G30" s="1" t="s">
        <v>169</v>
      </c>
    </row>
    <row r="31" spans="2:7" x14ac:dyDescent="0.3">
      <c r="B31" s="1" t="s">
        <v>170</v>
      </c>
      <c r="C31" s="1" t="s">
        <v>43</v>
      </c>
      <c r="D31" s="1" t="s">
        <v>171</v>
      </c>
      <c r="E31" s="1" t="s">
        <v>172</v>
      </c>
      <c r="F31" s="1" t="s">
        <v>173</v>
      </c>
      <c r="G31" s="1" t="s">
        <v>174</v>
      </c>
    </row>
    <row r="32" spans="2:7" x14ac:dyDescent="0.3">
      <c r="B32" s="1" t="s">
        <v>175</v>
      </c>
      <c r="C32" s="1" t="s">
        <v>43</v>
      </c>
      <c r="D32" s="1" t="s">
        <v>176</v>
      </c>
      <c r="E32" s="1" t="s">
        <v>177</v>
      </c>
      <c r="F32" s="1" t="s">
        <v>178</v>
      </c>
      <c r="G32" s="1" t="s">
        <v>179</v>
      </c>
    </row>
    <row r="33" spans="2:7" x14ac:dyDescent="0.3">
      <c r="B33" s="1" t="s">
        <v>180</v>
      </c>
      <c r="C33" s="1" t="s">
        <v>43</v>
      </c>
      <c r="D33" s="1" t="s">
        <v>181</v>
      </c>
      <c r="E33" s="1" t="s">
        <v>182</v>
      </c>
      <c r="F33" s="1" t="s">
        <v>97</v>
      </c>
      <c r="G33" s="1" t="s">
        <v>47</v>
      </c>
    </row>
    <row r="34" spans="2:7" x14ac:dyDescent="0.3">
      <c r="B34" s="1" t="s">
        <v>183</v>
      </c>
      <c r="C34" s="1" t="s">
        <v>43</v>
      </c>
      <c r="D34" s="1" t="s">
        <v>184</v>
      </c>
      <c r="E34" s="1" t="s">
        <v>185</v>
      </c>
      <c r="F34" s="1" t="s">
        <v>186</v>
      </c>
      <c r="G34" s="1" t="s">
        <v>187</v>
      </c>
    </row>
    <row r="35" spans="2:7" x14ac:dyDescent="0.3">
      <c r="B35" s="1" t="s">
        <v>188</v>
      </c>
      <c r="C35" s="1" t="s">
        <v>43</v>
      </c>
      <c r="D35" s="1" t="s">
        <v>189</v>
      </c>
      <c r="E35" s="1" t="s">
        <v>132</v>
      </c>
      <c r="F35" s="1" t="s">
        <v>129</v>
      </c>
      <c r="G35" s="1" t="s">
        <v>190</v>
      </c>
    </row>
    <row r="36" spans="2:7" x14ac:dyDescent="0.3">
      <c r="B36" s="1" t="s">
        <v>191</v>
      </c>
      <c r="C36" s="1" t="s">
        <v>43</v>
      </c>
      <c r="D36" s="1" t="s">
        <v>189</v>
      </c>
      <c r="E36" s="1" t="s">
        <v>132</v>
      </c>
      <c r="F36" s="1" t="s">
        <v>129</v>
      </c>
      <c r="G36" s="1" t="s">
        <v>143</v>
      </c>
    </row>
    <row r="37" spans="2:7" x14ac:dyDescent="0.3">
      <c r="B37" s="1" t="s">
        <v>192</v>
      </c>
      <c r="C37" s="1" t="s">
        <v>43</v>
      </c>
      <c r="D37" s="1" t="s">
        <v>193</v>
      </c>
      <c r="E37" s="1" t="s">
        <v>182</v>
      </c>
      <c r="F37" s="1" t="s">
        <v>97</v>
      </c>
      <c r="G37" s="1" t="s">
        <v>47</v>
      </c>
    </row>
    <row r="38" spans="2:7" x14ac:dyDescent="0.3">
      <c r="B38" s="1" t="s">
        <v>194</v>
      </c>
      <c r="C38" s="1" t="s">
        <v>43</v>
      </c>
      <c r="D38" s="1" t="s">
        <v>195</v>
      </c>
      <c r="E38" s="1" t="s">
        <v>157</v>
      </c>
      <c r="F38" s="1" t="s">
        <v>196</v>
      </c>
      <c r="G38" s="1" t="s">
        <v>159</v>
      </c>
    </row>
    <row r="39" spans="2:7" x14ac:dyDescent="0.3">
      <c r="B39" s="1" t="s">
        <v>197</v>
      </c>
      <c r="C39" s="1" t="s">
        <v>43</v>
      </c>
      <c r="D39" s="1" t="s">
        <v>198</v>
      </c>
      <c r="E39" s="1" t="s">
        <v>199</v>
      </c>
      <c r="F39" s="1" t="s">
        <v>196</v>
      </c>
      <c r="G39" s="1" t="s">
        <v>159</v>
      </c>
    </row>
    <row r="40" spans="2:7" x14ac:dyDescent="0.3">
      <c r="B40" s="1" t="s">
        <v>200</v>
      </c>
      <c r="C40" s="1" t="s">
        <v>43</v>
      </c>
      <c r="D40" s="1" t="s">
        <v>201</v>
      </c>
      <c r="E40" s="1" t="s">
        <v>182</v>
      </c>
      <c r="F40" s="1" t="s">
        <v>97</v>
      </c>
      <c r="G40" s="1" t="s">
        <v>47</v>
      </c>
    </row>
    <row r="41" spans="2:7" x14ac:dyDescent="0.3">
      <c r="B41" s="1" t="s">
        <v>202</v>
      </c>
      <c r="C41" s="1" t="s">
        <v>43</v>
      </c>
      <c r="D41" s="1" t="s">
        <v>203</v>
      </c>
      <c r="E41" s="1" t="s">
        <v>204</v>
      </c>
      <c r="F41" s="1" t="s">
        <v>205</v>
      </c>
      <c r="G41" s="1" t="s">
        <v>206</v>
      </c>
    </row>
  </sheetData>
  <hyperlinks>
    <hyperlink ref="A1" r:id="rId1" xr:uid="{AA5C855D-0ABD-4E7F-8FE5-27A9AD2B1B2A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4C5702-2A05-4DC1-8B77-01D4DEA327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6</vt:i4>
      </vt:variant>
    </vt:vector>
  </HeadingPairs>
  <TitlesOfParts>
    <vt:vector size="6" baseType="lpstr">
      <vt:lpstr>Analiza-tjedna potrošnja</vt:lpstr>
      <vt:lpstr>Analiza-Instagram</vt:lpstr>
      <vt:lpstr>Rješenje-tjedna potrošnja</vt:lpstr>
      <vt:lpstr>Rješenje-Instagram</vt:lpstr>
      <vt:lpstr>Učitavanje podataka</vt:lpstr>
      <vt:lpstr>Učitavanje podataka-rjesenje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PMF</dc:creator>
  <cp:lastModifiedBy>PMF</cp:lastModifiedBy>
  <dcterms:created xsi:type="dcterms:W3CDTF">2015-06-05T18:19:34Z</dcterms:created>
  <dcterms:modified xsi:type="dcterms:W3CDTF">2020-04-17T10:09:19Z</dcterms:modified>
</cp:coreProperties>
</file>